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 BDE\Downloads\"/>
    </mc:Choice>
  </mc:AlternateContent>
  <xr:revisionPtr revIDLastSave="0" documentId="13_ncr:1_{58234E25-BDBD-42A5-B532-0270CCA1E4FB}" xr6:coauthVersionLast="47" xr6:coauthVersionMax="47" xr10:uidLastSave="{00000000-0000-0000-0000-000000000000}"/>
  <bookViews>
    <workbookView xWindow="-120" yWindow="-120" windowWidth="29040" windowHeight="15720" xr2:uid="{8893AEF2-A936-4DCE-8797-6F4F1ABE44ED}"/>
  </bookViews>
  <sheets>
    <sheet name="Servicios actualizados" sheetId="2" r:id="rId1"/>
  </sheets>
  <definedNames>
    <definedName name="_xlnm._FilterDatabase" localSheetId="0" hidden="1">'Servicios actualizados'!$A$1:$AQ$337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47" i="2" l="1"/>
  <c r="Q346" i="2"/>
  <c r="W346" i="2"/>
  <c r="Q345" i="2"/>
  <c r="U345" i="2"/>
  <c r="W345" i="2"/>
  <c r="Q344" i="2"/>
  <c r="W344" i="2"/>
  <c r="W343" i="2"/>
  <c r="Q338" i="2"/>
  <c r="Q339" i="2"/>
  <c r="Q340" i="2"/>
  <c r="Q341" i="2"/>
  <c r="Q342" i="2"/>
  <c r="U338" i="2"/>
  <c r="U339" i="2"/>
  <c r="U340" i="2"/>
  <c r="U341" i="2"/>
  <c r="U342" i="2"/>
  <c r="W338" i="2"/>
  <c r="W339" i="2"/>
  <c r="W340" i="2"/>
  <c r="W341" i="2"/>
  <c r="W342" i="2"/>
  <c r="E2" i="2" a="1"/>
  <c r="E2" i="2"/>
  <c r="Q68" i="2"/>
  <c r="Q69" i="2"/>
  <c r="Q67" i="2"/>
  <c r="U67" i="2" s="1"/>
  <c r="T67" i="2" s="1"/>
  <c r="W67" i="2"/>
  <c r="V67" i="2" s="1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260" i="2"/>
  <c r="U337" i="2"/>
  <c r="U257" i="2"/>
  <c r="U256" i="2"/>
  <c r="V254" i="2"/>
  <c r="T254" i="2"/>
  <c r="U120" i="2"/>
  <c r="U119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80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37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5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7" i="2"/>
  <c r="Q181" i="2"/>
  <c r="W181" i="2"/>
  <c r="Q254" i="2"/>
  <c r="Q337" i="2"/>
  <c r="W33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187" i="2"/>
  <c r="V137" i="2"/>
  <c r="T137" i="2"/>
  <c r="Q137" i="2"/>
  <c r="W255" i="2"/>
  <c r="Q258" i="2"/>
  <c r="Q255" i="2"/>
  <c r="V258" i="2"/>
  <c r="T258" i="2"/>
  <c r="Q182" i="2"/>
  <c r="U255" i="2"/>
  <c r="W253" i="2"/>
  <c r="U253" i="2"/>
  <c r="U69" i="2" l="1"/>
  <c r="T69" i="2" s="1"/>
  <c r="W69" i="2"/>
  <c r="V69" i="2" s="1"/>
  <c r="U68" i="2"/>
  <c r="T68" i="2" s="1"/>
  <c r="W68" i="2"/>
  <c r="V6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Alejandro Vázquez Zepeda</author>
  </authors>
  <commentList>
    <comment ref="H95" authorId="0" shapeId="0" xr:uid="{1C442C91-5CC5-4573-B77B-07B5DD2EE467}">
      <text>
        <r>
          <rPr>
            <sz val="11"/>
            <color theme="1"/>
            <rFont val="Aptos Narrow"/>
            <family val="2"/>
            <scheme val="minor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<sst xmlns="http://schemas.openxmlformats.org/spreadsheetml/2006/main" count="2775" uniqueCount="304">
  <si>
    <t>N° de Contrato</t>
  </si>
  <si>
    <t>RFC en contrato</t>
  </si>
  <si>
    <t>Registro de prestadores de servicios (REPSE)</t>
  </si>
  <si>
    <t>Estatutus del contrato</t>
  </si>
  <si>
    <t>Fianza</t>
  </si>
  <si>
    <t>Poliza</t>
  </si>
  <si>
    <t>Altas de provedor</t>
  </si>
  <si>
    <t>Institución</t>
  </si>
  <si>
    <t>Dependencia</t>
  </si>
  <si>
    <t>N° de partida</t>
  </si>
  <si>
    <t>Estados</t>
  </si>
  <si>
    <t>N° de Unidades</t>
  </si>
  <si>
    <t>Empresas adjudicadas en participación</t>
  </si>
  <si>
    <t>Empresa operando</t>
  </si>
  <si>
    <t>Inicio</t>
  </si>
  <si>
    <t>Fin</t>
  </si>
  <si>
    <t>Tiempo del contrato (meses)</t>
  </si>
  <si>
    <t>Elementos minimos</t>
  </si>
  <si>
    <t>Elementos máximos</t>
  </si>
  <si>
    <t>Monto mínimo sin IVA</t>
  </si>
  <si>
    <t>Monto mínimo con IVA</t>
  </si>
  <si>
    <t>Monto máximo sin IVA</t>
  </si>
  <si>
    <t>Monto máximo con IVA</t>
  </si>
  <si>
    <t>Cantidad Requerida</t>
  </si>
  <si>
    <t>Cantidad por Nómina</t>
  </si>
  <si>
    <t xml:space="preserve">Cantidad a Facturar (Acuerdos) </t>
  </si>
  <si>
    <t>Precio Unitario por operario (mes) sin IVA</t>
  </si>
  <si>
    <t>Responsable</t>
  </si>
  <si>
    <t>Contacto</t>
  </si>
  <si>
    <t>Visita</t>
  </si>
  <si>
    <t>Contrato</t>
  </si>
  <si>
    <t>Expedientes</t>
  </si>
  <si>
    <t xml:space="preserve">Prefatiga </t>
  </si>
  <si>
    <t>Uniformes</t>
  </si>
  <si>
    <t>Credenciales</t>
  </si>
  <si>
    <t>Altas en el IMSS</t>
  </si>
  <si>
    <t>Dias de Pago 1Q</t>
  </si>
  <si>
    <t>Dias de Pago 2Q</t>
  </si>
  <si>
    <t>Comentarios sobre materiales Abr</t>
  </si>
  <si>
    <t>Abril</t>
  </si>
  <si>
    <t>Comentarios sobre materiales May</t>
  </si>
  <si>
    <t>Mayo</t>
  </si>
  <si>
    <t>Notas generales</t>
  </si>
  <si>
    <t>ATTRAPI/023-S/2026</t>
  </si>
  <si>
    <t>SLY2312195E7</t>
  </si>
  <si>
    <t>Agenda de Trenes y Transporte Publico Integrado</t>
  </si>
  <si>
    <t>ATTRAPI</t>
  </si>
  <si>
    <t>CDMX</t>
  </si>
  <si>
    <t>SLYCOM</t>
  </si>
  <si>
    <t>Nuevo Leon</t>
  </si>
  <si>
    <t>Queretaro</t>
  </si>
  <si>
    <t>2026-A-A-NAC-A-A-06-G1H-00019911</t>
  </si>
  <si>
    <t>SIR220609IA9</t>
  </si>
  <si>
    <t>Banco Nacional del Ejército, Fuerza Aérea y Armada</t>
  </si>
  <si>
    <t>BANJERCITO</t>
  </si>
  <si>
    <t>RETIMAR</t>
  </si>
  <si>
    <t>Edo. Mexico</t>
  </si>
  <si>
    <t>Hidalgo</t>
  </si>
  <si>
    <t>Morelos</t>
  </si>
  <si>
    <t>Tlaxcala</t>
  </si>
  <si>
    <t>Jalisco</t>
  </si>
  <si>
    <t>Colima</t>
  </si>
  <si>
    <t>Guanajuato</t>
  </si>
  <si>
    <t>Michoacan</t>
  </si>
  <si>
    <t>Guerrero</t>
  </si>
  <si>
    <t>Nayarit</t>
  </si>
  <si>
    <t>Tamaulipas</t>
  </si>
  <si>
    <t>Coahuila</t>
  </si>
  <si>
    <t>San Luis Potosi</t>
  </si>
  <si>
    <t>Zacatecas</t>
  </si>
  <si>
    <t>Aguascalientes</t>
  </si>
  <si>
    <t>Sonora</t>
  </si>
  <si>
    <t>Baja California</t>
  </si>
  <si>
    <t>Baja California Sur</t>
  </si>
  <si>
    <t>Sinaloa</t>
  </si>
  <si>
    <t>Chihuahua</t>
  </si>
  <si>
    <t>Durango</t>
  </si>
  <si>
    <t>Veracruz</t>
  </si>
  <si>
    <t>Puebla</t>
  </si>
  <si>
    <t>Oaxaca</t>
  </si>
  <si>
    <t xml:space="preserve">Yucatan </t>
  </si>
  <si>
    <t>Chiapas</t>
  </si>
  <si>
    <t>Quintana Roo</t>
  </si>
  <si>
    <t>Campeche</t>
  </si>
  <si>
    <t>Tabasco</t>
  </si>
  <si>
    <t>CONAFE-UAF-AM/70-CDMX-2026</t>
  </si>
  <si>
    <t>ASP220621KC5</t>
  </si>
  <si>
    <t>AR211250/2026</t>
  </si>
  <si>
    <t>Consejo Nacional de Fomento Educativo</t>
  </si>
  <si>
    <t>CONAFE</t>
  </si>
  <si>
    <t>ARMOT</t>
  </si>
  <si>
    <t>Variado</t>
  </si>
  <si>
    <t>CONAFE-UAF-AM/71-CDMX-2026</t>
  </si>
  <si>
    <t>CONAFE-UAF-AM/72-CDMX-2026</t>
  </si>
  <si>
    <t>CONAFE-UAF-AM/73-CDMX-2026</t>
  </si>
  <si>
    <t>CONAFE-UAF-AM/74-CDMX-2026</t>
  </si>
  <si>
    <t>CONAFE-UAF-AM/75-CDMX-2026</t>
  </si>
  <si>
    <t>CONAFE-UAF-AM/76-CDMX-2026</t>
  </si>
  <si>
    <t>CONAFE-UAF-AM/77-CDMX-2026</t>
  </si>
  <si>
    <t>CONAFE-UAF-AM/78-CDMX-2026</t>
  </si>
  <si>
    <t>CONAFE-UAF-AM/79-CDMX-2026</t>
  </si>
  <si>
    <t>CONAFE-UAF-AM/80-CDMX-2026</t>
  </si>
  <si>
    <t>CONAFE-UAF-AM/81-CDMX-2026</t>
  </si>
  <si>
    <t>CONAFE-UAF-AM/82-CDMX-2026</t>
  </si>
  <si>
    <t>CONAFE-UAF-AM/83-CDMX-2026</t>
  </si>
  <si>
    <t>CONAFE-UAF-AM/84-CDMX-2026</t>
  </si>
  <si>
    <t>CONAFE-UAF-AM/85-CDMX-2026</t>
  </si>
  <si>
    <t>CONAFE-UAF-AM/86-CDMX-2026</t>
  </si>
  <si>
    <t>CONAFE-UAF-AM/87-CDMX-2026</t>
  </si>
  <si>
    <t>CONAFE-UAF-AM/88-CDMX-2026</t>
  </si>
  <si>
    <t>CONAFE-UAF-AM/89-CDMX-2026</t>
  </si>
  <si>
    <t>CONAFE-UAF-AM/90-CDMX-2026</t>
  </si>
  <si>
    <t>CONAFE-UAF-AM/91-CDMX-2026</t>
  </si>
  <si>
    <t>CONAFE-UAF-AM/92-CDMX-2026</t>
  </si>
  <si>
    <t>CONAFE-UAF-AM/93-CDMX-2026</t>
  </si>
  <si>
    <t>CONAFE-UAF-AM/94-CDMX-2026</t>
  </si>
  <si>
    <t>CONAFE-UAF-AM/95-CDMX-2026</t>
  </si>
  <si>
    <t>CONAFE-UAF-AM/96-CDMX-2026</t>
  </si>
  <si>
    <t>CONAFE-UAF-AM/97-CDMX-2026</t>
  </si>
  <si>
    <t>CONAFE-UAF-AM/98-CDMX-2026</t>
  </si>
  <si>
    <t>CONAFE-UAF-AM/99-CDMX-2026</t>
  </si>
  <si>
    <t>FINABIEN-GA-016-2026</t>
  </si>
  <si>
    <t>LCE231213HS7</t>
  </si>
  <si>
    <t>Financiera del Bienestar</t>
  </si>
  <si>
    <t>FINABIEN</t>
  </si>
  <si>
    <t>UNICA</t>
  </si>
  <si>
    <t xml:space="preserve">LIDERES DE LOS CIMIENTOS EMPRESARIALES </t>
  </si>
  <si>
    <t>LA-IB-CSG-0114-2026</t>
  </si>
  <si>
    <t>SLY2312195E7, VIX190110PT6, API160902R13, SOF231005857 y GPS200901V68</t>
  </si>
  <si>
    <t>Instituto Mexicano del Seguro Social</t>
  </si>
  <si>
    <t>IMSS-Bienestar</t>
  </si>
  <si>
    <t>SLYCOM, VIXMOR, SOFICLEAN, API y PULIZIA</t>
  </si>
  <si>
    <t>AA-IB-CSG-0158-2026</t>
  </si>
  <si>
    <t>LA-IB-CSG-0111-2026</t>
  </si>
  <si>
    <t>LEG990803V73</t>
  </si>
  <si>
    <t>LAUMIR, DIAINOCO, ECODELI y GEMINIS</t>
  </si>
  <si>
    <t>GEMINIS</t>
  </si>
  <si>
    <t>unicas</t>
  </si>
  <si>
    <t>CT-0078-26</t>
  </si>
  <si>
    <t>Instituto del Fondo Nacional de la Vivienda para los Trabajadores</t>
  </si>
  <si>
    <t>INFONAVIT</t>
  </si>
  <si>
    <t xml:space="preserve"> IPN-PS-ITP-065-2025</t>
  </si>
  <si>
    <t>Instituto Politecnico Nacional</t>
  </si>
  <si>
    <t>IPN</t>
  </si>
  <si>
    <t xml:space="preserve"> </t>
  </si>
  <si>
    <t>IPN-PS-ITP-066-2025</t>
  </si>
  <si>
    <t>IPN-PS-ITP-067-2025</t>
  </si>
  <si>
    <t>IPN-PS-ITP-068-2025</t>
  </si>
  <si>
    <t>IPN-PS-ITP-069-2025</t>
  </si>
  <si>
    <t>IPN-PS-ITP-070-2025</t>
  </si>
  <si>
    <t>IPN-PS-ITP-071-2025</t>
  </si>
  <si>
    <t>IPN-PS-ITP-072-2025</t>
  </si>
  <si>
    <t>IPN-PS-ITP-073-2025</t>
  </si>
  <si>
    <t>IPN-PS-ITP-074-2025</t>
  </si>
  <si>
    <t>IPN-PS-ITP-075-2025</t>
  </si>
  <si>
    <t>IPN-PS-ITP-076-2025</t>
  </si>
  <si>
    <t>IPN-PS-ITP-077-2025</t>
  </si>
  <si>
    <t>IPN-PS-ITP-078-2025</t>
  </si>
  <si>
    <t>IPN-PS-ITP-079-2025</t>
  </si>
  <si>
    <t>IPN-PS-ITP-080-2025</t>
  </si>
  <si>
    <t>IPN-PS-ITP-081-2025</t>
  </si>
  <si>
    <t>IPN-PS-ITP-082-2025</t>
  </si>
  <si>
    <t>IPN-PS-ITP-083-2025</t>
  </si>
  <si>
    <t>IPN-PS-ITP-084-2025</t>
  </si>
  <si>
    <t>IPN-PS-ITP-085-2025</t>
  </si>
  <si>
    <t>IPN-PS-ITP-086-2025</t>
  </si>
  <si>
    <t>IPN-PS-ITP-087-2025</t>
  </si>
  <si>
    <t>IPN-PS-ITP-088-2025</t>
  </si>
  <si>
    <t>IPN-PS-ITP-089-2025</t>
  </si>
  <si>
    <t>IPN-PS-ITP-090-2025</t>
  </si>
  <si>
    <t>IPN-PS-ITP-091-2025</t>
  </si>
  <si>
    <t>IPN-PS-ITP-092-2025</t>
  </si>
  <si>
    <t>IPN-PS-ITP-093-2025</t>
  </si>
  <si>
    <t>IPN-PS-ITP-094-2025</t>
  </si>
  <si>
    <t>IPN-PS-ITP-095-2025</t>
  </si>
  <si>
    <t>IPN-PS-ITP-096-2025</t>
  </si>
  <si>
    <t>IPN-PS-ITP-097-2025</t>
  </si>
  <si>
    <t>IPN-PS-ITP-098-2025</t>
  </si>
  <si>
    <t>IPN-PS-ITP-099-2025</t>
  </si>
  <si>
    <t>IPN-PS-ITP-100-2025</t>
  </si>
  <si>
    <t>IPN-PS-ITP-101-2025</t>
  </si>
  <si>
    <t>IPN-PS-ITP-102-2025</t>
  </si>
  <si>
    <t>IPN-PS-ITP-103-2025</t>
  </si>
  <si>
    <t>IPN-PS-ITP-104-2025</t>
  </si>
  <si>
    <t>IPN-PS-ITP-105-2025</t>
  </si>
  <si>
    <t>IPN-PS-ITP-106-2025</t>
  </si>
  <si>
    <t>ISEM-C5-006-2026</t>
  </si>
  <si>
    <t>Instituto de Salud del Estado de Mexico</t>
  </si>
  <si>
    <t>ISEM</t>
  </si>
  <si>
    <t>DAyF/SRMS/LP/SRV/621/2025</t>
  </si>
  <si>
    <t>ISS6001015A3</t>
  </si>
  <si>
    <t xml:space="preserve">Instituto de Seguridad y Servicios Sociales de los Trabajadores del Estado </t>
  </si>
  <si>
    <t>ISSSTE</t>
  </si>
  <si>
    <t xml:space="preserve">HURGA, SERGEN, A.X.L. CONSORCIO,  ULTRA NAYAA,  GRUPO PULIZIA, SLYCOM, SERVICIOS LANTO,  PROFESIONALES EN MANTENIMIENTO Y LIMPIEZA, HHF SOLUTIONS Y ECODELI </t>
  </si>
  <si>
    <t>HURGA</t>
  </si>
  <si>
    <t>STC-GACS-CNCS-014/2026</t>
  </si>
  <si>
    <t xml:space="preserve">Sistema de Transporte Colectivo </t>
  </si>
  <si>
    <t>METRO</t>
  </si>
  <si>
    <t>Verificar precio unitario</t>
  </si>
  <si>
    <t>MB-DEAF-CT-001-2026</t>
  </si>
  <si>
    <t>GPS200901V68</t>
  </si>
  <si>
    <t>METROBUS</t>
  </si>
  <si>
    <t>PULIZIA</t>
  </si>
  <si>
    <t>CDMX-SPOTMET-CS-003-2026</t>
  </si>
  <si>
    <t>Secretaria de Planeacion, Ordenamiento Territorial y Coordinacion Metropolitana</t>
  </si>
  <si>
    <t>METROPOLIS CDMX</t>
  </si>
  <si>
    <t>CS/OPD/8/2026</t>
  </si>
  <si>
    <t>Oficialia Mayor</t>
  </si>
  <si>
    <t>O.M</t>
  </si>
  <si>
    <t>LP-PJ-01/2026</t>
  </si>
  <si>
    <t>Poder Judicial del Estado de Mexico</t>
  </si>
  <si>
    <t>PJEDOMEX</t>
  </si>
  <si>
    <t>SLYCOM y GRUPO CARDORI</t>
  </si>
  <si>
    <t xml:space="preserve">Sin informacion </t>
  </si>
  <si>
    <t>PRODECON/SG/DGA/C10/202</t>
  </si>
  <si>
    <t>Procuraduria de la Defensa del Contribuyente</t>
  </si>
  <si>
    <t>PRODECON</t>
  </si>
  <si>
    <t>CON01/AM03/2026</t>
  </si>
  <si>
    <t>Procuraduría Federal del Consumidor</t>
  </si>
  <si>
    <t>PROFECO</t>
  </si>
  <si>
    <t>Variable</t>
  </si>
  <si>
    <t>CON02/AM03/2026</t>
  </si>
  <si>
    <t>CON03/AM03/2026</t>
  </si>
  <si>
    <t>CON04/AM03/2026</t>
  </si>
  <si>
    <t>CON05/AM03/2026</t>
  </si>
  <si>
    <t>CON06/AM03/2026</t>
  </si>
  <si>
    <t>CON07/AM03/2026</t>
  </si>
  <si>
    <t>CON08/AM03/2026</t>
  </si>
  <si>
    <t>CON09/AM03/2026</t>
  </si>
  <si>
    <t>CON10/AM03/2026</t>
  </si>
  <si>
    <t>CON11/AM03/2026</t>
  </si>
  <si>
    <t>CON12/AM03/2026</t>
  </si>
  <si>
    <t>CON13/AM03/2026</t>
  </si>
  <si>
    <t>CON14/AM03/2026</t>
  </si>
  <si>
    <t>CON15/AM03/2026</t>
  </si>
  <si>
    <t>CON16/AM03/2026</t>
  </si>
  <si>
    <t>CON17/AM03/2026</t>
  </si>
  <si>
    <t>CON18/AM03/2026</t>
  </si>
  <si>
    <t>CON19/AM03/2026</t>
  </si>
  <si>
    <t>CON20/AM03/2026</t>
  </si>
  <si>
    <t>CON21/AM03/2026</t>
  </si>
  <si>
    <t>CON22/AM03/2026</t>
  </si>
  <si>
    <t>CON23/AM03/2026</t>
  </si>
  <si>
    <t>CON24/AM03/2026</t>
  </si>
  <si>
    <t>CON25/AM03/2026</t>
  </si>
  <si>
    <t>CON26/AM03/2026</t>
  </si>
  <si>
    <t>CON27/AM03/2026</t>
  </si>
  <si>
    <t>CON28/AM03/2026</t>
  </si>
  <si>
    <t>CON29/AM03/2026</t>
  </si>
  <si>
    <t>CON30/AM03/2026</t>
  </si>
  <si>
    <t>CON31/AM03/2026</t>
  </si>
  <si>
    <t>CON32/AM03/2026</t>
  </si>
  <si>
    <t>CON33/AM03/2026</t>
  </si>
  <si>
    <t>CON34/AM03/2026</t>
  </si>
  <si>
    <t>PRS/DGAF/S/023/2026</t>
  </si>
  <si>
    <t>SGO1301036U0</t>
  </si>
  <si>
    <t xml:space="preserve"> Prevencion y Reinserccion Social</t>
  </si>
  <si>
    <t>PyRS</t>
  </si>
  <si>
    <t>Sin informacion</t>
  </si>
  <si>
    <t>SAPCI/DGAF/DRMSG/IRTP/001/2026</t>
  </si>
  <si>
    <t>Secretaría de Atención y Participación Ciuudadana</t>
  </si>
  <si>
    <t>SAPCI</t>
  </si>
  <si>
    <t>SEBIEN/CRMS/028/2026</t>
  </si>
  <si>
    <t>Secretaria de Bienestar e Igualdad Social</t>
  </si>
  <si>
    <t>SEBIEN</t>
  </si>
  <si>
    <t>1239 3P IR L DGAF DRMA 1 25</t>
  </si>
  <si>
    <t>Secretaria de Gestion Integral del Agua</t>
  </si>
  <si>
    <t>SEGIAGUA</t>
  </si>
  <si>
    <t>AM-24-002/2026</t>
  </si>
  <si>
    <t>Secretaría de Hacienda y Crédito Público</t>
  </si>
  <si>
    <t>SHCP</t>
  </si>
  <si>
    <t>SM/003/2026</t>
  </si>
  <si>
    <t>Secretaria de las Muejeres</t>
  </si>
  <si>
    <t>SMUJERES</t>
  </si>
  <si>
    <t>SRE/DGBIRM/C-AM-004/2026</t>
  </si>
  <si>
    <t>Secretaria de Relaciones Exteriores</t>
  </si>
  <si>
    <t>SRE CDMX</t>
  </si>
  <si>
    <t xml:space="preserve">  </t>
  </si>
  <si>
    <t>SRE/DGBIRM/P-ITP-003/2026</t>
  </si>
  <si>
    <t>SRE850101BT4</t>
  </si>
  <si>
    <t>SRE (Foraneas)</t>
  </si>
  <si>
    <t>SRE/DGBIRM/C-AD-003/2026</t>
  </si>
  <si>
    <t>SRE (Pasaportes)</t>
  </si>
  <si>
    <t xml:space="preserve">DGRMSG-DCC-S-007-2026 </t>
  </si>
  <si>
    <t>SSA630502CU1</t>
  </si>
  <si>
    <t>Seretaria de Salud</t>
  </si>
  <si>
    <t>SSA</t>
  </si>
  <si>
    <t>UMB/003/2026</t>
  </si>
  <si>
    <t>Universidad Mexiquense</t>
  </si>
  <si>
    <t>UBM</t>
  </si>
  <si>
    <t>AA-IB-CSG-0166-2026</t>
  </si>
  <si>
    <t>-</t>
  </si>
  <si>
    <t>Plaza Artz</t>
  </si>
  <si>
    <t>INCAN-AD-SRM-SERV-001-2026</t>
  </si>
  <si>
    <t>Instituto Nacional de Cancerologia</t>
  </si>
  <si>
    <t>INCAN</t>
  </si>
  <si>
    <t>SSG/AM/001/2026</t>
  </si>
  <si>
    <t>Instituto Nacional de Neurologia y Neurocirugia</t>
  </si>
  <si>
    <t>INNN</t>
  </si>
  <si>
    <t>CM/009/2026</t>
  </si>
  <si>
    <t>Secretaria de Seguridad Cudadana de la Ciudad de Mexico</t>
  </si>
  <si>
    <t>SSC CDMX</t>
  </si>
  <si>
    <t>Universidad de la Policia de la Ciudad de Mexico</t>
  </si>
  <si>
    <t>UNIPOL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</si>
</sst>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164" formatCode="&quot;$&quot;#,##0.00"/>
    <numFmt numFmtId="165" formatCode="0.0"/>
    <numFmt numFmtId="166" formatCode="&quot;$&quot;#,##0.00000"/>
    <numFmt numFmtId="167" formatCode="[$$-80A]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2" fillId="0" borderId="0" xfId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7" fillId="0" borderId="0" xfId="0" applyFont="1"/>
    <xf numFmtId="8" fontId="8" fillId="0" borderId="0" xfId="0" applyNumberFormat="1" applyFont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4" fontId="0" fillId="0" borderId="0" xfId="0" applyNumberFormat="1" applyAlignment="1">
      <alignment horizontal="center"/>
    </xf>
    <xf numFmtId="164" fontId="0" fillId="7" borderId="0" xfId="0" applyNumberFormat="1" applyFill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enciasunammx-my.sharepoint.com/:f:/g/personal/alevaz_ciencias_unam_mx/IgBe32VAmKV0Rp7KtZlW3GN0ARFjxiiOCA-wfuHfd1GCagE?e=3hnRXV" TargetMode="External"/><Relationship Id="rId21" Type="http://schemas.openxmlformats.org/officeDocument/2006/relationships/hyperlink" Target="https://cienciasunammx-my.sharepoint.com/:b:/g/personal/alevaz_ciencias_unam_mx/IQBobDzz9xt7RLm7xYsMByD-AU3thyrTe1bzXkwtHgKw8DE?e=2Te5pU" TargetMode="External"/><Relationship Id="rId42" Type="http://schemas.openxmlformats.org/officeDocument/2006/relationships/hyperlink" Target="https://cienciasunammx-my.sharepoint.com/:b:/g/personal/alevaz_ciencias_unam_mx/IQD1exJw9m-kQLMhHnuHsV0lAZnsqGKHF61zvA_HrivRVnQ?e=KVjVbk" TargetMode="External"/><Relationship Id="rId63" Type="http://schemas.openxmlformats.org/officeDocument/2006/relationships/hyperlink" Target="https://cienciasunammx-my.sharepoint.com/:f:/g/personal/alevaz_ciencias_unam_mx/IgAhW0qFDkOqQ4RvmT_RtGowATYuM4XwNSal70I2OeVgQDo?e=v9mger" TargetMode="External"/><Relationship Id="rId84" Type="http://schemas.openxmlformats.org/officeDocument/2006/relationships/hyperlink" Target="https://cienciasunammx-my.sharepoint.com/:f:/g/personal/alevaz_ciencias_unam_mx/IgAhW0qFDkOqQ4RvmT_RtGowATYuM4XwNSal70I2OeVgQDo?e=v9mger" TargetMode="External"/><Relationship Id="rId138" Type="http://schemas.openxmlformats.org/officeDocument/2006/relationships/hyperlink" Target="https://cienciasunammx-my.sharepoint.com/:f:/g/personal/alevaz_ciencias_unam_mx/IgDkWHVZZHs5SJPzUn1yh67bAY5J-XudnUW9KAdjGHiYpd8?e=Yx5zYd" TargetMode="External"/><Relationship Id="rId159" Type="http://schemas.openxmlformats.org/officeDocument/2006/relationships/hyperlink" Target="https://cienciasunammx-my.sharepoint.com/:b:/g/personal/alevaz_ciencias_unam_mx/IQA0beJ-BeoLTrUQj7EvLuz4AXs5Le950o7OICTxY-q9mwM?e=WYrFxa" TargetMode="External"/><Relationship Id="rId107" Type="http://schemas.openxmlformats.org/officeDocument/2006/relationships/hyperlink" Target="https://cienciasunammx-my.sharepoint.com/:f:/g/personal/alevaz_ciencias_unam_mx/IgBe32VAmKV0Rp7KtZlW3GN0ARFjxiiOCA-wfuHfd1GCagE?e=3hnRXV" TargetMode="External"/><Relationship Id="rId11" Type="http://schemas.openxmlformats.org/officeDocument/2006/relationships/hyperlink" Target="https://cienciasunammx-my.sharepoint.com/:b:/g/personal/alevaz_ciencias_unam_mx/IQAb_oSEJPYMTbsm0aqXegCOAaNvhY3x1uzu_L-NIJaNV3Q?e=C5Dwxr" TargetMode="External"/><Relationship Id="rId32" Type="http://schemas.openxmlformats.org/officeDocument/2006/relationships/hyperlink" Target="https://cienciasunammx-my.sharepoint.com/:b:/g/personal/alevaz_ciencias_unam_mx/IQDzkudZHzgKQozXmSQ1ir_YAYuQbUYI9noD9spUUM3MJeU?e=YhXhBh" TargetMode="External"/><Relationship Id="rId53" Type="http://schemas.openxmlformats.org/officeDocument/2006/relationships/hyperlink" Target="https://cienciasunammx-my.sharepoint.com/:b:/g/personal/alevaz_ciencias_unam_mx/IQDRPW8XXnc8Q7Q-vK-Wa5S8AeGICs1Kpu9HM9ONp_Q6h2A?e=JQnM2u" TargetMode="External"/><Relationship Id="rId74" Type="http://schemas.openxmlformats.org/officeDocument/2006/relationships/hyperlink" Target="https://cienciasunammx-my.sharepoint.com/:f:/g/personal/alevaz_ciencias_unam_mx/IgAhW0qFDkOqQ4RvmT_RtGowATYuM4XwNSal70I2OeVgQDo?e=v9mger" TargetMode="External"/><Relationship Id="rId128" Type="http://schemas.openxmlformats.org/officeDocument/2006/relationships/hyperlink" Target="https://cienciasunammx-my.sharepoint.com/:f:/g/personal/alevaz_ciencias_unam_mx/IgDkWHVZZHs5SJPzUn1yh67bAY5J-XudnUW9KAdjGHiYpd8?e=Yx5zYd" TargetMode="External"/><Relationship Id="rId149" Type="http://schemas.openxmlformats.org/officeDocument/2006/relationships/hyperlink" Target="https://cienciasunammx-my.sharepoint.com/:f:/g/personal/alevaz_ciencias_unam_mx/IgDkWHVZZHs5SJPzUn1yh67bAY5J-XudnUW9KAdjGHiYpd8?e=Yx5zYd" TargetMode="External"/><Relationship Id="rId5" Type="http://schemas.openxmlformats.org/officeDocument/2006/relationships/hyperlink" Target="https://cienciasunammx-my.sharepoint.com/:b:/g/personal/alevaz_ciencias_unam_mx/IQCa-BLMo2F8Q5k76VtZ7uV9AVmj8BnyvqlGDbgbDu_EUNE?e=TIQi3r" TargetMode="External"/><Relationship Id="rId95" Type="http://schemas.openxmlformats.org/officeDocument/2006/relationships/hyperlink" Target="https://cienciasunammx-my.sharepoint.com/:f:/g/personal/alevaz_ciencias_unam_mx/IgBe32VAmKV0Rp7KtZlW3GN0ARFjxiiOCA-wfuHfd1GCagE?e=3hnRXV" TargetMode="External"/><Relationship Id="rId160" Type="http://schemas.openxmlformats.org/officeDocument/2006/relationships/hyperlink" Target="https://cienciasunammx-my.sharepoint.com/:b:/g/personal/alevaz_ciencias_unam_mx/IQC9-V1X1AGJRaOW8zOwiaEtASy1VP6jWmCpepmL7DsP5os?e=ONQheX" TargetMode="External"/><Relationship Id="rId22" Type="http://schemas.openxmlformats.org/officeDocument/2006/relationships/hyperlink" Target="https://cienciasunammx-my.sharepoint.com/:b:/g/personal/alevaz_ciencias_unam_mx/IQDuo1FXVvK1R5r87uxrC6URAaBtGOEVBHfXCaeztGYjbJA?e=C9aGoX" TargetMode="External"/><Relationship Id="rId43" Type="http://schemas.openxmlformats.org/officeDocument/2006/relationships/hyperlink" Target="https://cienciasunammx-my.sharepoint.com/:b:/g/personal/alevaz_ciencias_unam_mx/IQCjuqumnYGgT7XKHdxi0KuCAWuuxvjYvPCkiYLUDWUrAg0?e=pUEva8" TargetMode="External"/><Relationship Id="rId64" Type="http://schemas.openxmlformats.org/officeDocument/2006/relationships/hyperlink" Target="https://cienciasunammx-my.sharepoint.com/:f:/g/personal/alevaz_ciencias_unam_mx/IgAhW0qFDkOqQ4RvmT_RtGowATYuM4XwNSal70I2OeVgQDo?e=v9mger" TargetMode="External"/><Relationship Id="rId118" Type="http://schemas.openxmlformats.org/officeDocument/2006/relationships/hyperlink" Target="https://cienciasunammx-my.sharepoint.com/:f:/g/personal/alevaz_ciencias_unam_mx/IgBe32VAmKV0Rp7KtZlW3GN0ARFjxiiOCA-wfuHfd1GCagE?e=3hnRXV" TargetMode="External"/><Relationship Id="rId139" Type="http://schemas.openxmlformats.org/officeDocument/2006/relationships/hyperlink" Target="https://cienciasunammx-my.sharepoint.com/:f:/g/personal/alevaz_ciencias_unam_mx/IgDkWHVZZHs5SJPzUn1yh67bAY5J-XudnUW9KAdjGHiYpd8?e=Yx5zYd" TargetMode="External"/><Relationship Id="rId85" Type="http://schemas.openxmlformats.org/officeDocument/2006/relationships/hyperlink" Target="https://cienciasunammx-my.sharepoint.com/:f:/g/personal/alevaz_ciencias_unam_mx/IgAhW0qFDkOqQ4RvmT_RtGowATYuM4XwNSal70I2OeVgQDo?e=v9mger" TargetMode="External"/><Relationship Id="rId150" Type="http://schemas.openxmlformats.org/officeDocument/2006/relationships/hyperlink" Target="https://cienciasunammx-my.sharepoint.com/:f:/g/personal/alevaz_ciencias_unam_mx/IgDkWHVZZHs5SJPzUn1yh67bAY5J-XudnUW9KAdjGHiYpd8?e=Yx5zYd" TargetMode="External"/><Relationship Id="rId12" Type="http://schemas.openxmlformats.org/officeDocument/2006/relationships/hyperlink" Target="https://cienciasunammx-my.sharepoint.com/:b:/g/personal/alevaz_ciencias_unam_mx/IQBtubY-KQubT7Ei_Fg64sHdAXEREDPH12TNVdd5-DCh7b4?e=TpkTCP" TargetMode="External"/><Relationship Id="rId17" Type="http://schemas.openxmlformats.org/officeDocument/2006/relationships/hyperlink" Target="https://cienciasunammx-my.sharepoint.com/:b:/g/personal/alevaz_ciencias_unam_mx/IQBGoPt8RcGMS6wGIiNo_wr2AWA6x2l5D2GrmjRA7v8zhbs?e=qr7PQ3" TargetMode="External"/><Relationship Id="rId33" Type="http://schemas.openxmlformats.org/officeDocument/2006/relationships/hyperlink" Target="https://cienciasunammx-my.sharepoint.com/:b:/g/personal/alevaz_ciencias_unam_mx/IQBJ_iZSBg0LQI4tKBDuXtPgAcH7Ynr0M639mtj0OcE4FNA?e=LLqJAq" TargetMode="External"/><Relationship Id="rId38" Type="http://schemas.openxmlformats.org/officeDocument/2006/relationships/hyperlink" Target="https://cienciasunammx-my.sharepoint.com/:b:/g/personal/alevaz_ciencias_unam_mx/IQBL2w8WiJ7eTK0F8pv_DuXFATBughOwu7A1POvQwB2yISE?e=XtL2XR" TargetMode="External"/><Relationship Id="rId59" Type="http://schemas.openxmlformats.org/officeDocument/2006/relationships/hyperlink" Target="https://cienciasunammx-my.sharepoint.com/:b:/g/personal/alevaz_ciencias_unam_mx/IQA4dUN_OW16Tblrqe9HHsDuATzgsokp2z8RQvhTuN-Mo-4?e=Pq37dN" TargetMode="External"/><Relationship Id="rId103" Type="http://schemas.openxmlformats.org/officeDocument/2006/relationships/hyperlink" Target="https://cienciasunammx-my.sharepoint.com/:f:/g/personal/alevaz_ciencias_unam_mx/IgBe32VAmKV0Rp7KtZlW3GN0ARFjxiiOCA-wfuHfd1GCagE?e=3hnRXV" TargetMode="External"/><Relationship Id="rId108" Type="http://schemas.openxmlformats.org/officeDocument/2006/relationships/hyperlink" Target="https://cienciasunammx-my.sharepoint.com/:f:/g/personal/alevaz_ciencias_unam_mx/IgBe32VAmKV0Rp7KtZlW3GN0ARFjxiiOCA-wfuHfd1GCagE?e=3hnRXV" TargetMode="External"/><Relationship Id="rId124" Type="http://schemas.openxmlformats.org/officeDocument/2006/relationships/hyperlink" Target="https://cienciasunammx-my.sharepoint.com/:b:/g/personal/alevaz_ciencias_unam_mx/IQC_oeqwIdRIRrHqpKk_KayzAewEVDLOjwlOuYPyaFsM1dM?e=MUNuZu" TargetMode="External"/><Relationship Id="rId129" Type="http://schemas.openxmlformats.org/officeDocument/2006/relationships/hyperlink" Target="https://cienciasunammx-my.sharepoint.com/:f:/g/personal/alevaz_ciencias_unam_mx/IgDkWHVZZHs5SJPzUn1yh67bAY5J-XudnUW9KAdjGHiYpd8?e=Yx5zYd" TargetMode="External"/><Relationship Id="rId54" Type="http://schemas.openxmlformats.org/officeDocument/2006/relationships/hyperlink" Target="https://cienciasunammx-my.sharepoint.com/:b:/g/personal/alevaz_ciencias_unam_mx/IQDRPW8XXnc8Q7Q-vK-Wa5S8AeGICs1Kpu9HM9ONp_Q6h2A?e=JQnM2u" TargetMode="External"/><Relationship Id="rId70" Type="http://schemas.openxmlformats.org/officeDocument/2006/relationships/hyperlink" Target="https://cienciasunammx-my.sharepoint.com/:f:/g/personal/alevaz_ciencias_unam_mx/IgAhW0qFDkOqQ4RvmT_RtGowATYuM4XwNSal70I2OeVgQDo?e=v9mger" TargetMode="External"/><Relationship Id="rId75" Type="http://schemas.openxmlformats.org/officeDocument/2006/relationships/hyperlink" Target="https://cienciasunammx-my.sharepoint.com/:f:/g/personal/alevaz_ciencias_unam_mx/IgAhW0qFDkOqQ4RvmT_RtGowATYuM4XwNSal70I2OeVgQDo?e=v9mger" TargetMode="External"/><Relationship Id="rId91" Type="http://schemas.openxmlformats.org/officeDocument/2006/relationships/hyperlink" Target="https://cienciasunammx-my.sharepoint.com/:f:/g/personal/alevaz_ciencias_unam_mx/IgBe32VAmKV0Rp7KtZlW3GN0ARFjxiiOCA-wfuHfd1GCagE?e=3hnRXV" TargetMode="External"/><Relationship Id="rId96" Type="http://schemas.openxmlformats.org/officeDocument/2006/relationships/hyperlink" Target="https://cienciasunammx-my.sharepoint.com/:f:/g/personal/alevaz_ciencias_unam_mx/IgBe32VAmKV0Rp7KtZlW3GN0ARFjxiiOCA-wfuHfd1GCagE?e=3hnRXV" TargetMode="External"/><Relationship Id="rId140" Type="http://schemas.openxmlformats.org/officeDocument/2006/relationships/hyperlink" Target="https://cienciasunammx-my.sharepoint.com/:f:/g/personal/alevaz_ciencias_unam_mx/IgDkWHVZZHs5SJPzUn1yh67bAY5J-XudnUW9KAdjGHiYpd8?e=Yx5zYd" TargetMode="External"/><Relationship Id="rId145" Type="http://schemas.openxmlformats.org/officeDocument/2006/relationships/hyperlink" Target="https://cienciasunammx-my.sharepoint.com/:f:/g/personal/alevaz_ciencias_unam_mx/IgDkWHVZZHs5SJPzUn1yh67bAY5J-XudnUW9KAdjGHiYpd8?e=Yx5zYd" TargetMode="External"/><Relationship Id="rId161" Type="http://schemas.openxmlformats.org/officeDocument/2006/relationships/hyperlink" Target="https://cienciasunammx-my.sharepoint.com/:f:/g/personal/alevaz_ciencias_unam_mx/IgC-bmcncAWKRqncfJMMOpjjATZqrLYSHEZnXvzRrTXWxI4?e=1E94Wy" TargetMode="External"/><Relationship Id="rId166" Type="http://schemas.openxmlformats.org/officeDocument/2006/relationships/hyperlink" Target="https://cienciasunammx-my.sharepoint.com/:f:/g/personal/alevaz_ciencias_unam_mx/IgDyo1Y3vdkaQqCPQue3S9b5AXoFD0QWyCMaHZw2AVN0Tv0?e=qNh2Yv" TargetMode="External"/><Relationship Id="rId1" Type="http://schemas.openxmlformats.org/officeDocument/2006/relationships/hyperlink" Target="https://cienciasunammx-my.sharepoint.com/:b:/g/personal/alevaz_ciencias_unam_mx/IQAoci8R8qE8R5o1Aer4CW3qASoQT3AQegHFKxvZTMLoC3s?e=9haWQK" TargetMode="External"/><Relationship Id="rId6" Type="http://schemas.openxmlformats.org/officeDocument/2006/relationships/hyperlink" Target="https://cienciasunammx-my.sharepoint.com/:b:/g/personal/alevaz_ciencias_unam_mx/IQBP97Z8VQY-S6zv0-NQvRunAXZ6WyJ4dR124DvZHOnjzBA?e=rreFjX" TargetMode="External"/><Relationship Id="rId23" Type="http://schemas.openxmlformats.org/officeDocument/2006/relationships/hyperlink" Target="https://cienciasunammx-my.sharepoint.com/:b:/g/personal/alevaz_ciencias_unam_mx/IQCxZ_OCQNEaRbe8putVZwrkAfIrxjY3QbUFzC2yU5tWuj4?e=eo8qiD" TargetMode="External"/><Relationship Id="rId28" Type="http://schemas.openxmlformats.org/officeDocument/2006/relationships/hyperlink" Target="https://cienciasunammx-my.sharepoint.com/:b:/g/personal/alevaz_ciencias_unam_mx/IQBrOQpTH1NOS5bcoKbgRQg0Aa-ZgTOvz7dYUNjx83L0gDA?e=yJDgMW" TargetMode="External"/><Relationship Id="rId49" Type="http://schemas.openxmlformats.org/officeDocument/2006/relationships/hyperlink" Target="https://cienciasunammx-my.sharepoint.com/:b:/g/personal/alevaz_ciencias_unam_mx/IQD_7GjdBVh_QoaprLfE4WR0Ac9-gCayptA81j3kqLWRJpk?e=DKHpTv" TargetMode="External"/><Relationship Id="rId114" Type="http://schemas.openxmlformats.org/officeDocument/2006/relationships/hyperlink" Target="https://cienciasunammx-my.sharepoint.com/:f:/g/personal/alevaz_ciencias_unam_mx/IgBe32VAmKV0Rp7KtZlW3GN0ARFjxiiOCA-wfuHfd1GCagE?e=3hnRXV" TargetMode="External"/><Relationship Id="rId119" Type="http://schemas.openxmlformats.org/officeDocument/2006/relationships/hyperlink" Target="https://cienciasunammx-my.sharepoint.com/:f:/g/personal/alevaz_ciencias_unam_mx/IgBe32VAmKV0Rp7KtZlW3GN0ARFjxiiOCA-wfuHfd1GCagE?e=3hnRXV" TargetMode="External"/><Relationship Id="rId44" Type="http://schemas.openxmlformats.org/officeDocument/2006/relationships/hyperlink" Target="https://cienciasunammx-my.sharepoint.com/:b:/g/personal/alevaz_ciencias_unam_mx/IQBEUz9Q78OcTpd0GJnlRn50AUltYvmemMVXKoEkskPiLFw?e=2qjxcM" TargetMode="External"/><Relationship Id="rId60" Type="http://schemas.openxmlformats.org/officeDocument/2006/relationships/hyperlink" Target="https://cienciasunammx-my.sharepoint.com/:f:/g/personal/alevaz_ciencias_unam_mx/IgAhW0qFDkOqQ4RvmT_RtGowATYuM4XwNSal70I2OeVgQDo?e=v9mger" TargetMode="External"/><Relationship Id="rId65" Type="http://schemas.openxmlformats.org/officeDocument/2006/relationships/hyperlink" Target="https://cienciasunammx-my.sharepoint.com/:f:/g/personal/alevaz_ciencias_unam_mx/IgAhW0qFDkOqQ4RvmT_RtGowATYuM4XwNSal70I2OeVgQDo?e=v9mger" TargetMode="External"/><Relationship Id="rId81" Type="http://schemas.openxmlformats.org/officeDocument/2006/relationships/hyperlink" Target="https://cienciasunammx-my.sharepoint.com/:f:/g/personal/alevaz_ciencias_unam_mx/IgAhW0qFDkOqQ4RvmT_RtGowATYuM4XwNSal70I2OeVgQDo?e=v9mger" TargetMode="External"/><Relationship Id="rId86" Type="http://schemas.openxmlformats.org/officeDocument/2006/relationships/hyperlink" Target="https://cienciasunammx-my.sharepoint.com/:f:/g/personal/alevaz_ciencias_unam_mx/IgAhW0qFDkOqQ4RvmT_RtGowATYuM4XwNSal70I2OeVgQDo?e=v9mger" TargetMode="External"/><Relationship Id="rId130" Type="http://schemas.openxmlformats.org/officeDocument/2006/relationships/hyperlink" Target="https://cienciasunammx-my.sharepoint.com/:f:/g/personal/alevaz_ciencias_unam_mx/IgDkWHVZZHs5SJPzUn1yh67bAY5J-XudnUW9KAdjGHiYpd8?e=Yx5zYd" TargetMode="External"/><Relationship Id="rId135" Type="http://schemas.openxmlformats.org/officeDocument/2006/relationships/hyperlink" Target="https://cienciasunammx-my.sharepoint.com/:f:/g/personal/alevaz_ciencias_unam_mx/IgDkWHVZZHs5SJPzUn1yh67bAY5J-XudnUW9KAdjGHiYpd8?e=Yx5zYd" TargetMode="External"/><Relationship Id="rId151" Type="http://schemas.openxmlformats.org/officeDocument/2006/relationships/hyperlink" Target="https://cienciasunammx-my.sharepoint.com/:f:/g/personal/alevaz_ciencias_unam_mx/IgDkWHVZZHs5SJPzUn1yh67bAY5J-XudnUW9KAdjGHiYpd8?e=Yx5zYd" TargetMode="External"/><Relationship Id="rId156" Type="http://schemas.openxmlformats.org/officeDocument/2006/relationships/hyperlink" Target="https://cienciasunammx-my.sharepoint.com/:f:/g/personal/alevaz_ciencias_unam_mx/IgDkWHVZZHs5SJPzUn1yh67bAY5J-XudnUW9KAdjGHiYpd8?e=Yx5zYd" TargetMode="External"/><Relationship Id="rId13" Type="http://schemas.openxmlformats.org/officeDocument/2006/relationships/hyperlink" Target="https://cienciasunammx-my.sharepoint.com/:b:/g/personal/alevaz_ciencias_unam_mx/IQBN8JzJRg5iSKf5KD_mbUDGAf_a-iO4H6DMqqklNxYYOl0?e=vcLkuj" TargetMode="External"/><Relationship Id="rId18" Type="http://schemas.openxmlformats.org/officeDocument/2006/relationships/hyperlink" Target="https://cienciasunammx-my.sharepoint.com/:b:/g/personal/alevaz_ciencias_unam_mx/IQA24v6lm3OlR4SO9wBu_29aARBZ2Tne-cO5WadMaRAB5mI?e=LzafhF" TargetMode="External"/><Relationship Id="rId39" Type="http://schemas.openxmlformats.org/officeDocument/2006/relationships/hyperlink" Target="https://cienciasunammx-my.sharepoint.com/:b:/g/personal/alevaz_ciencias_unam_mx/IQAmzJiVZbPBQKEbPJEhqf2GAY5w-mlYTu1u0l5o3EOycPY?e=FDq4j6" TargetMode="External"/><Relationship Id="rId109" Type="http://schemas.openxmlformats.org/officeDocument/2006/relationships/hyperlink" Target="https://cienciasunammx-my.sharepoint.com/:f:/g/personal/alevaz_ciencias_unam_mx/IgBe32VAmKV0Rp7KtZlW3GN0ARFjxiiOCA-wfuHfd1GCagE?e=3hnRXV" TargetMode="External"/><Relationship Id="rId34" Type="http://schemas.openxmlformats.org/officeDocument/2006/relationships/hyperlink" Target="https://cienciasunammx-my.sharepoint.com/:b:/g/personal/alevaz_ciencias_unam_mx/IQBXZMERVFH9Q5nqOsZz8O8NAVxaKKGXsttxmFtNaJUjaIA?e=ajh82i" TargetMode="External"/><Relationship Id="rId50" Type="http://schemas.openxmlformats.org/officeDocument/2006/relationships/hyperlink" Target="https://cienciasunammx-my.sharepoint.com/:b:/g/personal/alevaz_ciencias_unam_mx/IQBHrJuOa8m2S7VZkB1jIe5dARjPskdBSvALhdh3uk6VhUs?e=shhBq7" TargetMode="External"/><Relationship Id="rId55" Type="http://schemas.openxmlformats.org/officeDocument/2006/relationships/hyperlink" Target="https://cienciasunammx-my.sharepoint.com/:f:/g/personal/alevaz_ciencias_unam_mx/IgCE9D_6HPqaSqoZ02bHK-h1AUCzMc5CGYGvaOBFr4zXy9k?e=RZ0MM9" TargetMode="External"/><Relationship Id="rId76" Type="http://schemas.openxmlformats.org/officeDocument/2006/relationships/hyperlink" Target="https://cienciasunammx-my.sharepoint.com/:f:/g/personal/alevaz_ciencias_unam_mx/IgAhW0qFDkOqQ4RvmT_RtGowATYuM4XwNSal70I2OeVgQDo?e=v9mger" TargetMode="External"/><Relationship Id="rId97" Type="http://schemas.openxmlformats.org/officeDocument/2006/relationships/hyperlink" Target="https://cienciasunammx-my.sharepoint.com/:f:/g/personal/alevaz_ciencias_unam_mx/IgBe32VAmKV0Rp7KtZlW3GN0ARFjxiiOCA-wfuHfd1GCagE?e=3hnRXV" TargetMode="External"/><Relationship Id="rId104" Type="http://schemas.openxmlformats.org/officeDocument/2006/relationships/hyperlink" Target="https://cienciasunammx-my.sharepoint.com/:f:/g/personal/alevaz_ciencias_unam_mx/IgBe32VAmKV0Rp7KtZlW3GN0ARFjxiiOCA-wfuHfd1GCagE?e=3hnRXV" TargetMode="External"/><Relationship Id="rId120" Type="http://schemas.openxmlformats.org/officeDocument/2006/relationships/hyperlink" Target="https://cienciasunammx-my.sharepoint.com/:f:/g/personal/alevaz_ciencias_unam_mx/IgC6dh_qdM19Rr5rA2bi55vUAVg1yTYZcYFWSGpnuziU0Zk?e=uayHz0" TargetMode="External"/><Relationship Id="rId125" Type="http://schemas.openxmlformats.org/officeDocument/2006/relationships/hyperlink" Target="https://cienciasunammx-my.sharepoint.com/:b:/g/personal/alevaz_ciencias_unam_mx/IQB8SxakPB6HQrA18HUL7wUiAZ_4qQfSeg_-71eIKICydig?e=ZtiSvZ" TargetMode="External"/><Relationship Id="rId141" Type="http://schemas.openxmlformats.org/officeDocument/2006/relationships/hyperlink" Target="https://cienciasunammx-my.sharepoint.com/:f:/g/personal/alevaz_ciencias_unam_mx/IgDkWHVZZHs5SJPzUn1yh67bAY5J-XudnUW9KAdjGHiYpd8?e=Yx5zYd" TargetMode="External"/><Relationship Id="rId146" Type="http://schemas.openxmlformats.org/officeDocument/2006/relationships/hyperlink" Target="https://cienciasunammx-my.sharepoint.com/:f:/g/personal/alevaz_ciencias_unam_mx/IgDkWHVZZHs5SJPzUn1yh67bAY5J-XudnUW9KAdjGHiYpd8?e=Yx5zYd" TargetMode="External"/><Relationship Id="rId167" Type="http://schemas.openxmlformats.org/officeDocument/2006/relationships/vmlDrawing" Target="../drawings/vmlDrawing1.vml"/><Relationship Id="rId7" Type="http://schemas.openxmlformats.org/officeDocument/2006/relationships/hyperlink" Target="https://cienciasunammx-my.sharepoint.com/:b:/g/personal/alevaz_ciencias_unam_mx/IQDRxSISlFw5RKyuJdVcYUXaATXV-7X4S9quKxi2-1-U32c?e=QfzHO9" TargetMode="External"/><Relationship Id="rId71" Type="http://schemas.openxmlformats.org/officeDocument/2006/relationships/hyperlink" Target="https://cienciasunammx-my.sharepoint.com/:f:/g/personal/alevaz_ciencias_unam_mx/IgAhW0qFDkOqQ4RvmT_RtGowATYuM4XwNSal70I2OeVgQDo?e=v9mger" TargetMode="External"/><Relationship Id="rId92" Type="http://schemas.openxmlformats.org/officeDocument/2006/relationships/hyperlink" Target="https://cienciasunammx-my.sharepoint.com/:f:/g/personal/alevaz_ciencias_unam_mx/IgBe32VAmKV0Rp7KtZlW3GN0ARFjxiiOCA-wfuHfd1GCagE?e=3hnRXV" TargetMode="External"/><Relationship Id="rId162" Type="http://schemas.openxmlformats.org/officeDocument/2006/relationships/hyperlink" Target="https://cienciasunammx-my.sharepoint.com/:b:/g/personal/alevaz_ciencias_unam_mx/IQCYw1ua73tVQ67TAWB3IQgjASPs5tm_HtgmLtiQJFf-UOc?e=8lyBmD" TargetMode="External"/><Relationship Id="rId2" Type="http://schemas.openxmlformats.org/officeDocument/2006/relationships/hyperlink" Target="https://cienciasunammx-my.sharepoint.com/:b:/g/personal/alevaz_ciencias_unam_mx/IQAoci8R8qE8R5o1Aer4CW3qASoQT3AQegHFKxvZTMLoC3s?e=9haWQK" TargetMode="External"/><Relationship Id="rId29" Type="http://schemas.openxmlformats.org/officeDocument/2006/relationships/hyperlink" Target="https://cienciasunammx-my.sharepoint.com/:b:/g/personal/alevaz_ciencias_unam_mx/IQBhosxxCvYfRpHKsx5Z1HxAAa5aOirnGnD05qt9Ise98Z0?e=bIapMF" TargetMode="External"/><Relationship Id="rId24" Type="http://schemas.openxmlformats.org/officeDocument/2006/relationships/hyperlink" Target="https://cienciasunammx-my.sharepoint.com/:b:/g/personal/alevaz_ciencias_unam_mx/IQAjVMrwiwD4QIVdiS2IeA4tAYZrqEDAzwrzjfd_lVcqLzY?e=c8Ytmi" TargetMode="External"/><Relationship Id="rId40" Type="http://schemas.openxmlformats.org/officeDocument/2006/relationships/hyperlink" Target="https://cienciasunammx-my.sharepoint.com/:b:/g/personal/alevaz_ciencias_unam_mx/IQAmzJiVZbPBQKEbPJEhqf2GAY5w-mlYTu1u0l5o3EOycPY?e=FDq4j6" TargetMode="External"/><Relationship Id="rId45" Type="http://schemas.openxmlformats.org/officeDocument/2006/relationships/hyperlink" Target="https://cienciasunammx-my.sharepoint.com/:b:/g/personal/alevaz_ciencias_unam_mx/IQBEUz9Q78OcTpd0GJnlRn50AUltYvmemMVXKoEkskPiLFw?e=2qjxcM" TargetMode="External"/><Relationship Id="rId66" Type="http://schemas.openxmlformats.org/officeDocument/2006/relationships/hyperlink" Target="https://cienciasunammx-my.sharepoint.com/:f:/g/personal/alevaz_ciencias_unam_mx/IgAhW0qFDkOqQ4RvmT_RtGowATYuM4XwNSal70I2OeVgQDo?e=v9mger" TargetMode="External"/><Relationship Id="rId87" Type="http://schemas.openxmlformats.org/officeDocument/2006/relationships/hyperlink" Target="https://cienciasunammx-my.sharepoint.com/:f:/g/personal/alevaz_ciencias_unam_mx/IgAhW0qFDkOqQ4RvmT_RtGowATYuM4XwNSal70I2OeVgQDo?e=v9mger" TargetMode="External"/><Relationship Id="rId110" Type="http://schemas.openxmlformats.org/officeDocument/2006/relationships/hyperlink" Target="https://cienciasunammx-my.sharepoint.com/:f:/g/personal/alevaz_ciencias_unam_mx/IgBe32VAmKV0Rp7KtZlW3GN0ARFjxiiOCA-wfuHfd1GCagE?e=3hnRXV" TargetMode="External"/><Relationship Id="rId115" Type="http://schemas.openxmlformats.org/officeDocument/2006/relationships/hyperlink" Target="https://cienciasunammx-my.sharepoint.com/:f:/g/personal/alevaz_ciencias_unam_mx/IgBe32VAmKV0Rp7KtZlW3GN0ARFjxiiOCA-wfuHfd1GCagE?e=3hnRXV" TargetMode="External"/><Relationship Id="rId131" Type="http://schemas.openxmlformats.org/officeDocument/2006/relationships/hyperlink" Target="https://cienciasunammx-my.sharepoint.com/:f:/g/personal/alevaz_ciencias_unam_mx/IgDkWHVZZHs5SJPzUn1yh67bAY5J-XudnUW9KAdjGHiYpd8?e=Yx5zYd" TargetMode="External"/><Relationship Id="rId136" Type="http://schemas.openxmlformats.org/officeDocument/2006/relationships/hyperlink" Target="https://cienciasunammx-my.sharepoint.com/:f:/g/personal/alevaz_ciencias_unam_mx/IgDkWHVZZHs5SJPzUn1yh67bAY5J-XudnUW9KAdjGHiYpd8?e=Yx5zYd" TargetMode="External"/><Relationship Id="rId157" Type="http://schemas.openxmlformats.org/officeDocument/2006/relationships/hyperlink" Target="https://cienciasunammx-my.sharepoint.com/:f:/g/personal/alevaz_ciencias_unam_mx/IgDkWHVZZHs5SJPzUn1yh67bAY5J-XudnUW9KAdjGHiYpd8?e=Yx5zYd" TargetMode="External"/><Relationship Id="rId61" Type="http://schemas.openxmlformats.org/officeDocument/2006/relationships/hyperlink" Target="https://cienciasunammx-my.sharepoint.com/:f:/g/personal/alevaz_ciencias_unam_mx/IgAhW0qFDkOqQ4RvmT_RtGowATYuM4XwNSal70I2OeVgQDo?e=v9mger" TargetMode="External"/><Relationship Id="rId82" Type="http://schemas.openxmlformats.org/officeDocument/2006/relationships/hyperlink" Target="https://cienciasunammx-my.sharepoint.com/:f:/g/personal/alevaz_ciencias_unam_mx/IgAhW0qFDkOqQ4RvmT_RtGowATYuM4XwNSal70I2OeVgQDo?e=v9mger" TargetMode="External"/><Relationship Id="rId152" Type="http://schemas.openxmlformats.org/officeDocument/2006/relationships/hyperlink" Target="https://cienciasunammx-my.sharepoint.com/:f:/g/personal/alevaz_ciencias_unam_mx/IgDkWHVZZHs5SJPzUn1yh67bAY5J-XudnUW9KAdjGHiYpd8?e=Yx5zYd" TargetMode="External"/><Relationship Id="rId19" Type="http://schemas.openxmlformats.org/officeDocument/2006/relationships/hyperlink" Target="https://cienciasunammx-my.sharepoint.com/:b:/g/personal/alevaz_ciencias_unam_mx/IQBUvMk4ehRHTYG2nybMBxR2ATa_uqy80BCEXCdVsmsK_Cw?e=yhgRPY" TargetMode="External"/><Relationship Id="rId14" Type="http://schemas.openxmlformats.org/officeDocument/2006/relationships/hyperlink" Target="https://cienciasunammx-my.sharepoint.com/:b:/g/personal/alevaz_ciencias_unam_mx/IQBCIbyp7Z9wQK75-0cwi6hKAeKdfOB2wvvRgrMXl2v7Iu4?e=Fe3LLQ" TargetMode="External"/><Relationship Id="rId30" Type="http://schemas.openxmlformats.org/officeDocument/2006/relationships/hyperlink" Target="https://cienciasunammx-my.sharepoint.com/:b:/g/personal/alevaz_ciencias_unam_mx/IQAe3eGF-kvqToeigrTSsJ_QAdUgAX14ExDtr6W0iArjRTg?e=4eXLKM" TargetMode="External"/><Relationship Id="rId35" Type="http://schemas.openxmlformats.org/officeDocument/2006/relationships/hyperlink" Target="https://cienciasunammx-my.sharepoint.com/:b:/g/personal/alevaz_ciencias_unam_mx/IQCHVRyTcmL3Sqss56xTKvWsAWAmOxo3x_gcchlHew-O8X0?e=TYQusd" TargetMode="External"/><Relationship Id="rId56" Type="http://schemas.openxmlformats.org/officeDocument/2006/relationships/hyperlink" Target="https://cienciasunammx-my.sharepoint.com/:b:/g/personal/alevaz_ciencias_unam_mx/IQCCXhcRJrebRKRyPyFh_4avAdrKYXKiQ8ny6izMDLOj7bE?e=JH86uV" TargetMode="External"/><Relationship Id="rId77" Type="http://schemas.openxmlformats.org/officeDocument/2006/relationships/hyperlink" Target="https://cienciasunammx-my.sharepoint.com/:f:/g/personal/alevaz_ciencias_unam_mx/IgAhW0qFDkOqQ4RvmT_RtGowATYuM4XwNSal70I2OeVgQDo?e=v9mger" TargetMode="External"/><Relationship Id="rId100" Type="http://schemas.openxmlformats.org/officeDocument/2006/relationships/hyperlink" Target="https://cienciasunammx-my.sharepoint.com/:f:/g/personal/alevaz_ciencias_unam_mx/IgBe32VAmKV0Rp7KtZlW3GN0ARFjxiiOCA-wfuHfd1GCagE?e=3hnRXV" TargetMode="External"/><Relationship Id="rId105" Type="http://schemas.openxmlformats.org/officeDocument/2006/relationships/hyperlink" Target="https://cienciasunammx-my.sharepoint.com/:f:/g/personal/alevaz_ciencias_unam_mx/IgBe32VAmKV0Rp7KtZlW3GN0ARFjxiiOCA-wfuHfd1GCagE?e=3hnRXV" TargetMode="External"/><Relationship Id="rId126" Type="http://schemas.openxmlformats.org/officeDocument/2006/relationships/hyperlink" Target="https://cienciasunammx-my.sharepoint.com/:b:/g/personal/alevaz_ciencias_unam_mx/IQCSEKLyQywRR7Qw80DtPflmAZbeBpHDzKWvhgM-YVNjV-I?e=LI5Otl" TargetMode="External"/><Relationship Id="rId147" Type="http://schemas.openxmlformats.org/officeDocument/2006/relationships/hyperlink" Target="https://cienciasunammx-my.sharepoint.com/:f:/g/personal/alevaz_ciencias_unam_mx/IgDkWHVZZHs5SJPzUn1yh67bAY5J-XudnUW9KAdjGHiYpd8?e=Yx5zYd" TargetMode="External"/><Relationship Id="rId168" Type="http://schemas.openxmlformats.org/officeDocument/2006/relationships/comments" Target="../comments1.xml"/><Relationship Id="rId8" Type="http://schemas.openxmlformats.org/officeDocument/2006/relationships/hyperlink" Target="https://cienciasunammx-my.sharepoint.com/:b:/g/personal/alevaz_ciencias_unam_mx/IQBCKRXCzB0tSLREXrhYa3CUAWQ24MozuxnlnXAHMdMqPXM?e=fIGKzI" TargetMode="External"/><Relationship Id="rId51" Type="http://schemas.openxmlformats.org/officeDocument/2006/relationships/hyperlink" Target="https://cienciasunammx-my.sharepoint.com/:b:/g/personal/alevaz_ciencias_unam_mx/IQBHrJuOa8m2S7VZkB1jIe5dARjPskdBSvALhdh3uk6VhUs?e=shhBq7" TargetMode="External"/><Relationship Id="rId72" Type="http://schemas.openxmlformats.org/officeDocument/2006/relationships/hyperlink" Target="https://cienciasunammx-my.sharepoint.com/:f:/g/personal/alevaz_ciencias_unam_mx/IgAhW0qFDkOqQ4RvmT_RtGowATYuM4XwNSal70I2OeVgQDo?e=v9mger" TargetMode="External"/><Relationship Id="rId93" Type="http://schemas.openxmlformats.org/officeDocument/2006/relationships/hyperlink" Target="https://cienciasunammx-my.sharepoint.com/:f:/g/personal/alevaz_ciencias_unam_mx/IgBe32VAmKV0Rp7KtZlW3GN0ARFjxiiOCA-wfuHfd1GCagE?e=3hnRXV" TargetMode="External"/><Relationship Id="rId98" Type="http://schemas.openxmlformats.org/officeDocument/2006/relationships/hyperlink" Target="https://cienciasunammx-my.sharepoint.com/:f:/g/personal/alevaz_ciencias_unam_mx/IgBe32VAmKV0Rp7KtZlW3GN0ARFjxiiOCA-wfuHfd1GCagE?e=3hnRXV" TargetMode="External"/><Relationship Id="rId121" Type="http://schemas.openxmlformats.org/officeDocument/2006/relationships/hyperlink" Target="https://cienciasunammx-my.sharepoint.com/:f:/g/personal/alevaz_ciencias_unam_mx/IgC6dh_qdM19Rr5rA2bi55vUAVg1yTYZcYFWSGpnuziU0Zk?e=uayHz0" TargetMode="External"/><Relationship Id="rId142" Type="http://schemas.openxmlformats.org/officeDocument/2006/relationships/hyperlink" Target="https://cienciasunammx-my.sharepoint.com/:f:/g/personal/alevaz_ciencias_unam_mx/IgDkWHVZZHs5SJPzUn1yh67bAY5J-XudnUW9KAdjGHiYpd8?e=Yx5zYd" TargetMode="External"/><Relationship Id="rId163" Type="http://schemas.openxmlformats.org/officeDocument/2006/relationships/hyperlink" Target="https://cienciasunammx-my.sharepoint.com/:b:/g/personal/alevaz_ciencias_unam_mx/IQCYw1ua73tVQ67TAWB3IQgjASPs5tm_HtgmLtiQJFf-UOc?e=8lyBmD" TargetMode="External"/><Relationship Id="rId3" Type="http://schemas.openxmlformats.org/officeDocument/2006/relationships/hyperlink" Target="https://cienciasunammx-my.sharepoint.com/:b:/g/personal/alevaz_ciencias_unam_mx/IQAoci8R8qE8R5o1Aer4CW3qASoQT3AQegHFKxvZTMLoC3s?e=9haWQK" TargetMode="External"/><Relationship Id="rId25" Type="http://schemas.openxmlformats.org/officeDocument/2006/relationships/hyperlink" Target="https://cienciasunammx-my.sharepoint.com/:b:/g/personal/alevaz_ciencias_unam_mx/IQBw2YPkL8-4SL849N32fpDeAT5VPQwiLvJwwvoyWZTrfms?e=Gnhd5x" TargetMode="External"/><Relationship Id="rId46" Type="http://schemas.openxmlformats.org/officeDocument/2006/relationships/hyperlink" Target="https://cienciasunammx-my.sharepoint.com/:b:/g/personal/alevaz_ciencias_unam_mx/IQC72kRoL7dCSrkKT5YiiB7-AVk24_pA6VzvpVEVl4EynVc?e=qmIxns" TargetMode="External"/><Relationship Id="rId67" Type="http://schemas.openxmlformats.org/officeDocument/2006/relationships/hyperlink" Target="https://cienciasunammx-my.sharepoint.com/:f:/g/personal/alevaz_ciencias_unam_mx/IgAhW0qFDkOqQ4RvmT_RtGowATYuM4XwNSal70I2OeVgQDo?e=v9mger" TargetMode="External"/><Relationship Id="rId116" Type="http://schemas.openxmlformats.org/officeDocument/2006/relationships/hyperlink" Target="https://cienciasunammx-my.sharepoint.com/:f:/g/personal/alevaz_ciencias_unam_mx/IgBe32VAmKV0Rp7KtZlW3GN0ARFjxiiOCA-wfuHfd1GCagE?e=3hnRXV" TargetMode="External"/><Relationship Id="rId137" Type="http://schemas.openxmlformats.org/officeDocument/2006/relationships/hyperlink" Target="https://cienciasunammx-my.sharepoint.com/:f:/g/personal/alevaz_ciencias_unam_mx/IgDkWHVZZHs5SJPzUn1yh67bAY5J-XudnUW9KAdjGHiYpd8?e=Yx5zYd" TargetMode="External"/><Relationship Id="rId158" Type="http://schemas.openxmlformats.org/officeDocument/2006/relationships/hyperlink" Target="https://cienciasunammx-my.sharepoint.com/:f:/g/personal/alevaz_ciencias_unam_mx/IgDkWHVZZHs5SJPzUn1yh67bAY5J-XudnUW9KAdjGHiYpd8?e=Yx5zYd" TargetMode="External"/><Relationship Id="rId20" Type="http://schemas.openxmlformats.org/officeDocument/2006/relationships/hyperlink" Target="https://cienciasunammx-my.sharepoint.com/:b:/g/personal/alevaz_ciencias_unam_mx/IQDnj1C0IHopT5kzQiF2t8EpASg8AExvamUOKQyrLo2Z8j8?e=iYhjvi" TargetMode="External"/><Relationship Id="rId41" Type="http://schemas.openxmlformats.org/officeDocument/2006/relationships/hyperlink" Target="https://cienciasunammx-my.sharepoint.com/:b:/g/personal/alevaz_ciencias_unam_mx/IQD1exJw9m-kQLMhHnuHsV0lAZnsqGKHF61zvA_HrivRVnQ?e=KVjVbk" TargetMode="External"/><Relationship Id="rId62" Type="http://schemas.openxmlformats.org/officeDocument/2006/relationships/hyperlink" Target="https://cienciasunammx-my.sharepoint.com/:f:/g/personal/alevaz_ciencias_unam_mx/IgAhW0qFDkOqQ4RvmT_RtGowATYuM4XwNSal70I2OeVgQDo?e=v9mger" TargetMode="External"/><Relationship Id="rId83" Type="http://schemas.openxmlformats.org/officeDocument/2006/relationships/hyperlink" Target="https://cienciasunammx-my.sharepoint.com/:f:/g/personal/alevaz_ciencias_unam_mx/IgAhW0qFDkOqQ4RvmT_RtGowATYuM4XwNSal70I2OeVgQDo?e=v9mger" TargetMode="External"/><Relationship Id="rId88" Type="http://schemas.openxmlformats.org/officeDocument/2006/relationships/hyperlink" Target="https://cienciasunammx-my.sharepoint.com/:f:/g/personal/alevaz_ciencias_unam_mx/IgBe32VAmKV0Rp7KtZlW3GN0ARFjxiiOCA-wfuHfd1GCagE?e=3hnRXV" TargetMode="External"/><Relationship Id="rId111" Type="http://schemas.openxmlformats.org/officeDocument/2006/relationships/hyperlink" Target="https://cienciasunammx-my.sharepoint.com/:f:/g/personal/alevaz_ciencias_unam_mx/IgBe32VAmKV0Rp7KtZlW3GN0ARFjxiiOCA-wfuHfd1GCagE?e=3hnRXV" TargetMode="External"/><Relationship Id="rId132" Type="http://schemas.openxmlformats.org/officeDocument/2006/relationships/hyperlink" Target="https://cienciasunammx-my.sharepoint.com/:f:/g/personal/alevaz_ciencias_unam_mx/IgDkWHVZZHs5SJPzUn1yh67bAY5J-XudnUW9KAdjGHiYpd8?e=Yx5zYd" TargetMode="External"/><Relationship Id="rId153" Type="http://schemas.openxmlformats.org/officeDocument/2006/relationships/hyperlink" Target="https://cienciasunammx-my.sharepoint.com/:f:/g/personal/alevaz_ciencias_unam_mx/IgDkWHVZZHs5SJPzUn1yh67bAY5J-XudnUW9KAdjGHiYpd8?e=Yx5zYd" TargetMode="External"/><Relationship Id="rId15" Type="http://schemas.openxmlformats.org/officeDocument/2006/relationships/hyperlink" Target="https://cienciasunammx-my.sharepoint.com/:b:/g/personal/alevaz_ciencias_unam_mx/IQCfAQAzuykYQoTOHA0VxIxxAY-t8_ukNQ40W2zMlonldjY?e=eP0h4i" TargetMode="External"/><Relationship Id="rId36" Type="http://schemas.openxmlformats.org/officeDocument/2006/relationships/hyperlink" Target="https://cienciasunammx-my.sharepoint.com/:b:/g/personal/alevaz_ciencias_unam_mx/IQCMARHrbY43SaydizAjIB-MAfzIMzl5XmHhzo6AYzkYe98?e=81l8bj" TargetMode="External"/><Relationship Id="rId57" Type="http://schemas.openxmlformats.org/officeDocument/2006/relationships/hyperlink" Target="https://cienciasunammx-my.sharepoint.com/:b:/g/personal/alevaz_ciencias_unam_mx/IQCCXhcRJrebRKRyPyFh_4avAdrKYXKiQ8ny6izMDLOj7bE?e=JH86uV" TargetMode="External"/><Relationship Id="rId106" Type="http://schemas.openxmlformats.org/officeDocument/2006/relationships/hyperlink" Target="https://cienciasunammx-my.sharepoint.com/:f:/g/personal/alevaz_ciencias_unam_mx/IgBe32VAmKV0Rp7KtZlW3GN0ARFjxiiOCA-wfuHfd1GCagE?e=3hnRXV" TargetMode="External"/><Relationship Id="rId127" Type="http://schemas.openxmlformats.org/officeDocument/2006/relationships/hyperlink" Target="https://cienciasunammx-my.sharepoint.com/:f:/g/personal/alevaz_ciencias_unam_mx/IgA-Oim7cPZLQplwzlABKhBJAQaVRha5IopVinQ07YWV81U?e=3NEWAg" TargetMode="External"/><Relationship Id="rId10" Type="http://schemas.openxmlformats.org/officeDocument/2006/relationships/hyperlink" Target="https://cienciasunammx-my.sharepoint.com/:b:/g/personal/alevaz_ciencias_unam_mx/IQBVarlEGHLkTafB9HyHWajDAX3YB9M6WRT3R6lhqMbSpa4?e=iBepUn" TargetMode="External"/><Relationship Id="rId31" Type="http://schemas.openxmlformats.org/officeDocument/2006/relationships/hyperlink" Target="https://cienciasunammx-my.sharepoint.com/:b:/g/personal/alevaz_ciencias_unam_mx/IQAXr-DXB6QYSJCZt4fUKyMOARkP0n2JUFm13VpJmogK5HE?e=cyXTCI" TargetMode="External"/><Relationship Id="rId52" Type="http://schemas.openxmlformats.org/officeDocument/2006/relationships/hyperlink" Target="https://cienciasunammx-my.sharepoint.com/:b:/g/personal/alevaz_ciencias_unam_mx/IQCL2iz8byrvTq75xviWzAegAaDnxY1dW34y6wKOQs5cxBI?e=FSH8zR" TargetMode="External"/><Relationship Id="rId73" Type="http://schemas.openxmlformats.org/officeDocument/2006/relationships/hyperlink" Target="https://cienciasunammx-my.sharepoint.com/:f:/g/personal/alevaz_ciencias_unam_mx/IgAhW0qFDkOqQ4RvmT_RtGowATYuM4XwNSal70I2OeVgQDo?e=v9mger" TargetMode="External"/><Relationship Id="rId78" Type="http://schemas.openxmlformats.org/officeDocument/2006/relationships/hyperlink" Target="https://cienciasunammx-my.sharepoint.com/:f:/g/personal/alevaz_ciencias_unam_mx/IgAhW0qFDkOqQ4RvmT_RtGowATYuM4XwNSal70I2OeVgQDo?e=v9mger" TargetMode="External"/><Relationship Id="rId94" Type="http://schemas.openxmlformats.org/officeDocument/2006/relationships/hyperlink" Target="https://cienciasunammx-my.sharepoint.com/:f:/g/personal/alevaz_ciencias_unam_mx/IgBe32VAmKV0Rp7KtZlW3GN0ARFjxiiOCA-wfuHfd1GCagE?e=3hnRXV" TargetMode="External"/><Relationship Id="rId99" Type="http://schemas.openxmlformats.org/officeDocument/2006/relationships/hyperlink" Target="https://cienciasunammx-my.sharepoint.com/:f:/g/personal/alevaz_ciencias_unam_mx/IgBe32VAmKV0Rp7KtZlW3GN0ARFjxiiOCA-wfuHfd1GCagE?e=3hnRXV" TargetMode="External"/><Relationship Id="rId101" Type="http://schemas.openxmlformats.org/officeDocument/2006/relationships/hyperlink" Target="https://cienciasunammx-my.sharepoint.com/:f:/g/personal/alevaz_ciencias_unam_mx/IgBe32VAmKV0Rp7KtZlW3GN0ARFjxiiOCA-wfuHfd1GCagE?e=3hnRXV" TargetMode="External"/><Relationship Id="rId122" Type="http://schemas.openxmlformats.org/officeDocument/2006/relationships/hyperlink" Target="https://cienciasunammx-my.sharepoint.com/:f:/g/personal/alevaz_ciencias_unam_mx/IgC6dh_qdM19Rr5rA2bi55vUAVg1yTYZcYFWSGpnuziU0Zk?e=uayHz0" TargetMode="External"/><Relationship Id="rId143" Type="http://schemas.openxmlformats.org/officeDocument/2006/relationships/hyperlink" Target="https://cienciasunammx-my.sharepoint.com/:f:/g/personal/alevaz_ciencias_unam_mx/IgDkWHVZZHs5SJPzUn1yh67bAY5J-XudnUW9KAdjGHiYpd8?e=Yx5zYd" TargetMode="External"/><Relationship Id="rId148" Type="http://schemas.openxmlformats.org/officeDocument/2006/relationships/hyperlink" Target="https://cienciasunammx-my.sharepoint.com/:f:/g/personal/alevaz_ciencias_unam_mx/IgDkWHVZZHs5SJPzUn1yh67bAY5J-XudnUW9KAdjGHiYpd8?e=Yx5zYd" TargetMode="External"/><Relationship Id="rId164" Type="http://schemas.openxmlformats.org/officeDocument/2006/relationships/hyperlink" Target="https://cienciasunammx-my.sharepoint.com/:f:/g/personal/alevaz_ciencias_unam_mx/IgDN2D2BJpgLSr-aoREImqbwAVEX1wVooDbI5yANB39RZJE?e=FFc65H" TargetMode="External"/><Relationship Id="rId4" Type="http://schemas.openxmlformats.org/officeDocument/2006/relationships/hyperlink" Target="https://cienciasunammx-my.sharepoint.com/:f:/g/personal/alevaz_ciencias_unam_mx/IgAhW0qFDkOqQ4RvmT_RtGowATYuM4XwNSal70I2OeVgQDo?e=v9mger" TargetMode="External"/><Relationship Id="rId9" Type="http://schemas.openxmlformats.org/officeDocument/2006/relationships/hyperlink" Target="https://cienciasunammx-my.sharepoint.com/:b:/g/personal/alevaz_ciencias_unam_mx/IQBdXT9G4EKtQpWb-WWMoAxXAXlP6PHWlPdZfFARuUu0B_k?e=ClOp8L" TargetMode="External"/><Relationship Id="rId26" Type="http://schemas.openxmlformats.org/officeDocument/2006/relationships/hyperlink" Target="https://cienciasunammx-my.sharepoint.com/:b:/g/personal/alevaz_ciencias_unam_mx/IQBJnhjcYTsvSqKYz6dvisgZATif7NLzz_roqYBXnNiZ8nw?e=kqsQyj" TargetMode="External"/><Relationship Id="rId47" Type="http://schemas.openxmlformats.org/officeDocument/2006/relationships/hyperlink" Target="https://cienciasunammx-my.sharepoint.com/:b:/g/personal/alevaz_ciencias_unam_mx/IQC72kRoL7dCSrkKT5YiiB7-AVk24_pA6VzvpVEVl4EynVc?e=qmIxns" TargetMode="External"/><Relationship Id="rId68" Type="http://schemas.openxmlformats.org/officeDocument/2006/relationships/hyperlink" Target="https://cienciasunammx-my.sharepoint.com/:f:/g/personal/alevaz_ciencias_unam_mx/IgAhW0qFDkOqQ4RvmT_RtGowATYuM4XwNSal70I2OeVgQDo?e=v9mger" TargetMode="External"/><Relationship Id="rId89" Type="http://schemas.openxmlformats.org/officeDocument/2006/relationships/hyperlink" Target="https://cienciasunammx-my.sharepoint.com/:f:/g/personal/alevaz_ciencias_unam_mx/IgBe32VAmKV0Rp7KtZlW3GN0ARFjxiiOCA-wfuHfd1GCagE?e=3hnRXV" TargetMode="External"/><Relationship Id="rId112" Type="http://schemas.openxmlformats.org/officeDocument/2006/relationships/hyperlink" Target="https://cienciasunammx-my.sharepoint.com/:f:/g/personal/alevaz_ciencias_unam_mx/IgBe32VAmKV0Rp7KtZlW3GN0ARFjxiiOCA-wfuHfd1GCagE?e=3hnRXV" TargetMode="External"/><Relationship Id="rId133" Type="http://schemas.openxmlformats.org/officeDocument/2006/relationships/hyperlink" Target="https://cienciasunammx-my.sharepoint.com/:f:/g/personal/alevaz_ciencias_unam_mx/IgDkWHVZZHs5SJPzUn1yh67bAY5J-XudnUW9KAdjGHiYpd8?e=Yx5zYd" TargetMode="External"/><Relationship Id="rId154" Type="http://schemas.openxmlformats.org/officeDocument/2006/relationships/hyperlink" Target="https://cienciasunammx-my.sharepoint.com/:f:/g/personal/alevaz_ciencias_unam_mx/IgDkWHVZZHs5SJPzUn1yh67bAY5J-XudnUW9KAdjGHiYpd8?e=Yx5zYd" TargetMode="External"/><Relationship Id="rId16" Type="http://schemas.openxmlformats.org/officeDocument/2006/relationships/hyperlink" Target="https://cienciasunammx-my.sharepoint.com/:b:/g/personal/alevaz_ciencias_unam_mx/IQCDYq2Mo7zQS4Pl_oMUDEu8AbUCMIK8OFGdO2Hb_5m-W1A?e=Yx5QAJ" TargetMode="External"/><Relationship Id="rId37" Type="http://schemas.openxmlformats.org/officeDocument/2006/relationships/hyperlink" Target="https://cienciasunammx-my.sharepoint.com/:b:/g/personal/alevaz_ciencias_unam_mx/IQA2UAAfcBedQIJe24QAqjOpAaQgRt1_HnXYq2mBGUkcafU?e=SdcG2Q" TargetMode="External"/><Relationship Id="rId58" Type="http://schemas.openxmlformats.org/officeDocument/2006/relationships/hyperlink" Target="https://cienciasunammx-my.sharepoint.com/:b:/g/personal/alevaz_ciencias_unam_mx/IQDmWCIyT8WqSonb9-AKQ2qDAS8PVLmeKPpuHBZPS9RwVx4?e=wSV3jP" TargetMode="External"/><Relationship Id="rId79" Type="http://schemas.openxmlformats.org/officeDocument/2006/relationships/hyperlink" Target="https://cienciasunammx-my.sharepoint.com/:f:/g/personal/alevaz_ciencias_unam_mx/IgAhW0qFDkOqQ4RvmT_RtGowATYuM4XwNSal70I2OeVgQDo?e=v9mger" TargetMode="External"/><Relationship Id="rId102" Type="http://schemas.openxmlformats.org/officeDocument/2006/relationships/hyperlink" Target="https://cienciasunammx-my.sharepoint.com/:f:/g/personal/alevaz_ciencias_unam_mx/IgBe32VAmKV0Rp7KtZlW3GN0ARFjxiiOCA-wfuHfd1GCagE?e=3hnRXV" TargetMode="External"/><Relationship Id="rId123" Type="http://schemas.openxmlformats.org/officeDocument/2006/relationships/hyperlink" Target="https://cienciasunammx-my.sharepoint.com/:b:/g/personal/alevaz_ciencias_unam_mx/IQC_oeqwIdRIRrHqpKk_KayzAewEVDLOjwlOuYPyaFsM1dM?e=MUNuZu" TargetMode="External"/><Relationship Id="rId144" Type="http://schemas.openxmlformats.org/officeDocument/2006/relationships/hyperlink" Target="https://cienciasunammx-my.sharepoint.com/:f:/g/personal/alevaz_ciencias_unam_mx/IgDkWHVZZHs5SJPzUn1yh67bAY5J-XudnUW9KAdjGHiYpd8?e=Yx5zYd" TargetMode="External"/><Relationship Id="rId90" Type="http://schemas.openxmlformats.org/officeDocument/2006/relationships/hyperlink" Target="https://cienciasunammx-my.sharepoint.com/:f:/g/personal/alevaz_ciencias_unam_mx/IgBe32VAmKV0Rp7KtZlW3GN0ARFjxiiOCA-wfuHfd1GCagE?e=3hnRXV" TargetMode="External"/><Relationship Id="rId165" Type="http://schemas.openxmlformats.org/officeDocument/2006/relationships/hyperlink" Target="https://cienciasunammx-my.sharepoint.com/:f:/g/personal/alevaz_ciencias_unam_mx/IgDl14IQsuI1TqP8Vu7YwWfuATk-GGGHf6ueHAcBkcipXdY?e=js0BXT" TargetMode="External"/><Relationship Id="rId27" Type="http://schemas.openxmlformats.org/officeDocument/2006/relationships/hyperlink" Target="https://cienciasunammx-my.sharepoint.com/:b:/g/personal/alevaz_ciencias_unam_mx/IQDJ3Gpdefg4TbhgCQGx6s3kAcZEEh1_V3KXbuxJyLYGUvM?e=wmyXze" TargetMode="External"/><Relationship Id="rId48" Type="http://schemas.openxmlformats.org/officeDocument/2006/relationships/hyperlink" Target="https://cienciasunammx-my.sharepoint.com/:b:/g/personal/alevaz_ciencias_unam_mx/IQBPhDK-z43bTaX-8hHn1F8tAXEhTvjroetEbQVYZXTjkQI?e=QGVM6R" TargetMode="External"/><Relationship Id="rId69" Type="http://schemas.openxmlformats.org/officeDocument/2006/relationships/hyperlink" Target="https://cienciasunammx-my.sharepoint.com/:f:/g/personal/alevaz_ciencias_unam_mx/IgAhW0qFDkOqQ4RvmT_RtGowATYuM4XwNSal70I2OeVgQDo?e=v9mger" TargetMode="External"/><Relationship Id="rId113" Type="http://schemas.openxmlformats.org/officeDocument/2006/relationships/hyperlink" Target="https://cienciasunammx-my.sharepoint.com/:f:/g/personal/alevaz_ciencias_unam_mx/IgBe32VAmKV0Rp7KtZlW3GN0ARFjxiiOCA-wfuHfd1GCagE?e=3hnRXV" TargetMode="External"/><Relationship Id="rId134" Type="http://schemas.openxmlformats.org/officeDocument/2006/relationships/hyperlink" Target="https://cienciasunammx-my.sharepoint.com/:f:/g/personal/alevaz_ciencias_unam_mx/IgDkWHVZZHs5SJPzUn1yh67bAY5J-XudnUW9KAdjGHiYpd8?e=Yx5zYd" TargetMode="External"/><Relationship Id="rId80" Type="http://schemas.openxmlformats.org/officeDocument/2006/relationships/hyperlink" Target="https://cienciasunammx-my.sharepoint.com/:f:/g/personal/alevaz_ciencias_unam_mx/IgAhW0qFDkOqQ4RvmT_RtGowATYuM4XwNSal70I2OeVgQDo?e=v9mger" TargetMode="External"/><Relationship Id="rId155" Type="http://schemas.openxmlformats.org/officeDocument/2006/relationships/hyperlink" Target="https://cienciasunammx-my.sharepoint.com/:f:/g/personal/alevaz_ciencias_unam_mx/IgDkWHVZZHs5SJPzUn1yh67bAY5J-XudnUW9KAdjGHiYpd8?e=Yx5z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9153-F8E6-4522-8922-253B97381639}">
  <dimension ref="A1:AQ347"/>
  <sheetViews>
    <sheetView tabSelected="1" workbookViewId="0">
      <pane ySplit="1" topLeftCell="A317" activePane="bottomLeft" state="frozen"/>
      <selection pane="bottomLeft" activeCell="J327" sqref="J327"/>
    </sheetView>
  </sheetViews>
  <sheetFormatPr baseColWidth="10" defaultColWidth="9.140625" defaultRowHeight="15" x14ac:dyDescent="0.25"/>
  <cols>
    <col min="1" max="1" width="33.28515625" style="1" customWidth="1"/>
    <col min="2" max="2" width="72.7109375" style="15" hidden="1" customWidth="1"/>
    <col min="3" max="3" width="46.28515625" hidden="1" customWidth="1"/>
    <col min="4" max="7" width="30" hidden="1" customWidth="1"/>
    <col min="8" max="8" width="73" style="1" bestFit="1" customWidth="1"/>
    <col min="9" max="9" width="22.5703125" style="1" customWidth="1"/>
    <col min="10" max="10" width="17.5703125" style="1" customWidth="1"/>
    <col min="11" max="11" width="26" style="2" bestFit="1" customWidth="1"/>
    <col min="12" max="12" width="11.140625" style="1" customWidth="1"/>
    <col min="13" max="13" width="28.5703125" style="1" customWidth="1"/>
    <col min="14" max="14" width="41.7109375" style="1" bestFit="1" customWidth="1"/>
    <col min="15" max="16" width="11.140625" style="1" bestFit="1" customWidth="1"/>
    <col min="17" max="17" width="22.140625" style="1" customWidth="1"/>
    <col min="18" max="19" width="16.28515625" style="1" customWidth="1"/>
    <col min="20" max="21" width="17.42578125" style="6" customWidth="1"/>
    <col min="22" max="22" width="21.28515625" style="6" bestFit="1" customWidth="1"/>
    <col min="23" max="23" width="19.7109375" style="6" bestFit="1" customWidth="1"/>
    <col min="24" max="24" width="20" style="1" bestFit="1" customWidth="1"/>
    <col min="25" max="25" width="19.7109375" style="1" bestFit="1" customWidth="1"/>
    <col min="26" max="26" width="29" style="19" customWidth="1"/>
    <col min="27" max="27" width="22" style="6" bestFit="1" customWidth="1"/>
    <col min="28" max="28" width="20.42578125" style="1" customWidth="1"/>
    <col min="29" max="35" width="17.7109375" customWidth="1"/>
    <col min="36" max="36" width="21" customWidth="1"/>
    <col min="37" max="38" width="18.140625" bestFit="1" customWidth="1"/>
    <col min="39" max="39" width="18" customWidth="1"/>
    <col min="41" max="41" width="18.140625" customWidth="1"/>
    <col min="42" max="42" width="7.7109375" bestFit="1" customWidth="1"/>
    <col min="43" max="43" width="15.140625" bestFit="1" customWidth="1"/>
  </cols>
  <sheetData>
    <row r="1" spans="1:43" s="1" customFormat="1" ht="54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10" t="s">
        <v>38</v>
      </c>
      <c r="AN1" s="11" t="s">
        <v>39</v>
      </c>
      <c r="AO1" s="12" t="s">
        <v>40</v>
      </c>
      <c r="AP1" s="13" t="s">
        <v>41</v>
      </c>
      <c r="AQ1" s="14" t="s">
        <v>42</v>
      </c>
    </row>
    <row r="2" spans="1:43" x14ac:dyDescent="0.25">
      <c r="A2" s="5" t="s">
        <v>43</v>
      </c>
      <c r="B2" s="15" t="s">
        <v>44</v>
      </c>
      <c r="E2" t="str" cm="1">
        <f t="array" ref="E2">_xlfn.UNIQUE('Servicios actualizados'!H311)</f>
        <v>Secretaria de Relaciones Exteriores</v>
      </c>
      <c r="H2" s="1" t="s">
        <v>45</v>
      </c>
      <c r="I2" s="35" t="s">
        <v>46</v>
      </c>
      <c r="J2" s="1">
        <v>1</v>
      </c>
      <c r="K2" s="2" t="s">
        <v>47</v>
      </c>
      <c r="L2" s="1">
        <v>2</v>
      </c>
      <c r="M2" s="1" t="s">
        <v>48</v>
      </c>
      <c r="N2" s="1" t="s">
        <v>48</v>
      </c>
      <c r="O2" s="16">
        <v>46082</v>
      </c>
      <c r="P2" s="16">
        <v>46142</v>
      </c>
      <c r="Q2" s="17">
        <v>2</v>
      </c>
      <c r="R2" s="1">
        <v>12</v>
      </c>
      <c r="S2" s="1">
        <v>18</v>
      </c>
      <c r="T2" s="6">
        <v>152666.66666666666</v>
      </c>
      <c r="U2" s="6">
        <v>177093.33333333334</v>
      </c>
      <c r="V2" s="6">
        <v>381666.66666666669</v>
      </c>
      <c r="W2" s="6">
        <v>442733.33333333331</v>
      </c>
      <c r="X2" s="1">
        <v>0</v>
      </c>
    </row>
    <row r="3" spans="1:43" x14ac:dyDescent="0.25">
      <c r="A3" s="5" t="s">
        <v>43</v>
      </c>
      <c r="B3" s="15" t="s">
        <v>44</v>
      </c>
      <c r="H3" s="1" t="s">
        <v>45</v>
      </c>
      <c r="I3" s="35" t="s">
        <v>46</v>
      </c>
      <c r="J3" s="1">
        <v>2</v>
      </c>
      <c r="K3" s="2" t="s">
        <v>49</v>
      </c>
      <c r="L3" s="1">
        <v>1</v>
      </c>
      <c r="M3" s="1" t="s">
        <v>48</v>
      </c>
      <c r="N3" s="1" t="s">
        <v>48</v>
      </c>
      <c r="O3" s="16">
        <v>46082</v>
      </c>
      <c r="P3" s="16">
        <v>46142</v>
      </c>
      <c r="Q3" s="17">
        <v>2</v>
      </c>
      <c r="R3" s="1">
        <v>3</v>
      </c>
      <c r="S3" s="1">
        <v>4</v>
      </c>
      <c r="T3" s="6">
        <v>152666.66666666666</v>
      </c>
      <c r="U3" s="6">
        <v>177093.33333333334</v>
      </c>
      <c r="V3" s="6">
        <v>381666.66666666669</v>
      </c>
      <c r="W3" s="6">
        <v>442733.33333333331</v>
      </c>
      <c r="X3" s="1">
        <v>0</v>
      </c>
      <c r="Y3" s="6"/>
    </row>
    <row r="4" spans="1:43" x14ac:dyDescent="0.25">
      <c r="A4" s="5" t="s">
        <v>43</v>
      </c>
      <c r="B4" s="15" t="s">
        <v>44</v>
      </c>
      <c r="H4" s="1" t="s">
        <v>45</v>
      </c>
      <c r="I4" s="35" t="s">
        <v>46</v>
      </c>
      <c r="J4" s="1">
        <v>3</v>
      </c>
      <c r="K4" s="2" t="s">
        <v>50</v>
      </c>
      <c r="L4" s="1">
        <v>1</v>
      </c>
      <c r="M4" s="1" t="s">
        <v>48</v>
      </c>
      <c r="N4" s="1" t="s">
        <v>48</v>
      </c>
      <c r="O4" s="16">
        <v>46082</v>
      </c>
      <c r="P4" s="16">
        <v>46142</v>
      </c>
      <c r="Q4" s="17">
        <v>2</v>
      </c>
      <c r="R4" s="1">
        <v>4</v>
      </c>
      <c r="S4" s="1">
        <v>5</v>
      </c>
      <c r="T4" s="6">
        <v>152666.66666666666</v>
      </c>
      <c r="U4" s="6">
        <v>177093.33333333334</v>
      </c>
      <c r="V4" s="6">
        <v>381666.66666666669</v>
      </c>
      <c r="W4" s="6">
        <v>442733.33333333331</v>
      </c>
      <c r="X4" s="1">
        <v>0</v>
      </c>
      <c r="Y4" s="6"/>
    </row>
    <row r="5" spans="1:43" x14ac:dyDescent="0.25">
      <c r="A5" s="5" t="s">
        <v>51</v>
      </c>
      <c r="B5" s="15" t="s">
        <v>52</v>
      </c>
      <c r="H5" s="1" t="s">
        <v>53</v>
      </c>
      <c r="I5" s="35" t="s">
        <v>54</v>
      </c>
      <c r="J5" s="1">
        <v>1</v>
      </c>
      <c r="K5" s="2" t="s">
        <v>47</v>
      </c>
      <c r="L5" s="1">
        <v>17</v>
      </c>
      <c r="M5" s="1" t="s">
        <v>55</v>
      </c>
      <c r="N5" s="1" t="s">
        <v>55</v>
      </c>
      <c r="O5" s="16">
        <v>46082</v>
      </c>
      <c r="P5" s="16">
        <v>46387</v>
      </c>
      <c r="Q5" s="17">
        <v>10.166666666666666</v>
      </c>
      <c r="R5" s="1">
        <v>283</v>
      </c>
      <c r="S5" s="1">
        <v>283</v>
      </c>
      <c r="T5" s="6">
        <v>15800000</v>
      </c>
      <c r="U5" s="6">
        <f t="shared" ref="U5:U36" si="0">(T5*0.16)+T5</f>
        <v>18328000</v>
      </c>
      <c r="V5" s="6">
        <v>39500000</v>
      </c>
      <c r="W5" s="6">
        <f t="shared" ref="W5:W36" si="1">(V5*0.16)+V5</f>
        <v>45820000</v>
      </c>
      <c r="X5" s="1">
        <v>283</v>
      </c>
      <c r="Y5" s="6"/>
    </row>
    <row r="6" spans="1:43" x14ac:dyDescent="0.25">
      <c r="A6" s="5" t="s">
        <v>51</v>
      </c>
      <c r="B6" s="15" t="s">
        <v>52</v>
      </c>
      <c r="H6" s="1" t="s">
        <v>53</v>
      </c>
      <c r="I6" s="35" t="s">
        <v>54</v>
      </c>
      <c r="J6" s="1">
        <v>2</v>
      </c>
      <c r="K6" s="2" t="s">
        <v>56</v>
      </c>
      <c r="L6" s="1">
        <v>10</v>
      </c>
      <c r="M6" s="1" t="s">
        <v>55</v>
      </c>
      <c r="N6" s="1" t="s">
        <v>55</v>
      </c>
      <c r="O6" s="16">
        <v>46082</v>
      </c>
      <c r="P6" s="16">
        <v>46387</v>
      </c>
      <c r="Q6" s="17">
        <v>10.166666666666666</v>
      </c>
      <c r="R6" s="1">
        <v>38</v>
      </c>
      <c r="S6" s="1">
        <v>38</v>
      </c>
      <c r="T6" s="6">
        <v>2120000</v>
      </c>
      <c r="U6" s="6">
        <f t="shared" si="0"/>
        <v>2459200</v>
      </c>
      <c r="V6" s="6">
        <v>5300000</v>
      </c>
      <c r="W6" s="6">
        <f t="shared" si="1"/>
        <v>6148000</v>
      </c>
      <c r="X6" s="1">
        <v>38</v>
      </c>
    </row>
    <row r="7" spans="1:43" x14ac:dyDescent="0.25">
      <c r="A7" s="5" t="s">
        <v>51</v>
      </c>
      <c r="B7" s="15" t="s">
        <v>52</v>
      </c>
      <c r="H7" s="1" t="s">
        <v>53</v>
      </c>
      <c r="I7" s="35" t="s">
        <v>54</v>
      </c>
      <c r="J7" s="1">
        <v>3</v>
      </c>
      <c r="K7" s="2" t="s">
        <v>57</v>
      </c>
      <c r="L7" s="1">
        <v>1</v>
      </c>
      <c r="M7" s="1" t="s">
        <v>55</v>
      </c>
      <c r="N7" s="1" t="s">
        <v>55</v>
      </c>
      <c r="O7" s="16">
        <v>46082</v>
      </c>
      <c r="P7" s="16">
        <v>46387</v>
      </c>
      <c r="Q7" s="17">
        <v>10.166666666666666</v>
      </c>
      <c r="R7" s="1">
        <f t="shared" ref="R7:R38" si="2">S7</f>
        <v>3</v>
      </c>
      <c r="S7" s="1">
        <v>3</v>
      </c>
      <c r="T7" s="6">
        <v>180000</v>
      </c>
      <c r="U7" s="6">
        <f t="shared" si="0"/>
        <v>208800</v>
      </c>
      <c r="V7" s="6">
        <v>450000</v>
      </c>
      <c r="W7" s="6">
        <f t="shared" si="1"/>
        <v>522000</v>
      </c>
      <c r="X7" s="1">
        <v>3</v>
      </c>
    </row>
    <row r="8" spans="1:43" x14ac:dyDescent="0.25">
      <c r="A8" s="5" t="s">
        <v>51</v>
      </c>
      <c r="B8" s="15" t="s">
        <v>52</v>
      </c>
      <c r="H8" s="1" t="s">
        <v>53</v>
      </c>
      <c r="I8" s="35" t="s">
        <v>54</v>
      </c>
      <c r="J8" s="1">
        <v>4</v>
      </c>
      <c r="K8" s="2" t="s">
        <v>58</v>
      </c>
      <c r="L8" s="1">
        <v>1</v>
      </c>
      <c r="M8" s="1" t="s">
        <v>55</v>
      </c>
      <c r="N8" s="1" t="s">
        <v>55</v>
      </c>
      <c r="O8" s="16">
        <v>46082</v>
      </c>
      <c r="P8" s="16">
        <v>46387</v>
      </c>
      <c r="Q8" s="17">
        <v>10.166666666666666</v>
      </c>
      <c r="R8" s="1">
        <f t="shared" si="2"/>
        <v>4</v>
      </c>
      <c r="S8" s="1">
        <v>4</v>
      </c>
      <c r="T8" s="6">
        <v>240000</v>
      </c>
      <c r="U8" s="6">
        <f t="shared" si="0"/>
        <v>278400</v>
      </c>
      <c r="V8" s="6">
        <v>600000</v>
      </c>
      <c r="W8" s="6">
        <f t="shared" si="1"/>
        <v>696000</v>
      </c>
      <c r="X8" s="1">
        <v>4</v>
      </c>
    </row>
    <row r="9" spans="1:43" x14ac:dyDescent="0.25">
      <c r="A9" s="5" t="s">
        <v>51</v>
      </c>
      <c r="B9" s="15" t="s">
        <v>52</v>
      </c>
      <c r="H9" s="1" t="s">
        <v>53</v>
      </c>
      <c r="I9" s="35" t="s">
        <v>54</v>
      </c>
      <c r="J9" s="1">
        <v>5</v>
      </c>
      <c r="K9" s="2" t="s">
        <v>50</v>
      </c>
      <c r="L9" s="1">
        <v>1</v>
      </c>
      <c r="M9" s="1" t="s">
        <v>55</v>
      </c>
      <c r="N9" s="1" t="s">
        <v>55</v>
      </c>
      <c r="O9" s="16">
        <v>46082</v>
      </c>
      <c r="P9" s="16">
        <v>46387</v>
      </c>
      <c r="Q9" s="17">
        <v>10.166666666666666</v>
      </c>
      <c r="R9" s="1">
        <f t="shared" si="2"/>
        <v>4</v>
      </c>
      <c r="S9" s="1">
        <v>4</v>
      </c>
      <c r="T9" s="6">
        <v>240000</v>
      </c>
      <c r="U9" s="6">
        <f t="shared" si="0"/>
        <v>278400</v>
      </c>
      <c r="V9" s="6">
        <v>600000</v>
      </c>
      <c r="W9" s="6">
        <f t="shared" si="1"/>
        <v>696000</v>
      </c>
      <c r="X9" s="1">
        <v>4</v>
      </c>
    </row>
    <row r="10" spans="1:43" x14ac:dyDescent="0.25">
      <c r="A10" s="5" t="s">
        <v>51</v>
      </c>
      <c r="B10" s="15" t="s">
        <v>52</v>
      </c>
      <c r="H10" s="1" t="s">
        <v>53</v>
      </c>
      <c r="I10" s="35" t="s">
        <v>54</v>
      </c>
      <c r="J10" s="1">
        <v>6</v>
      </c>
      <c r="K10" s="2" t="s">
        <v>59</v>
      </c>
      <c r="L10" s="1">
        <v>1</v>
      </c>
      <c r="M10" s="1" t="s">
        <v>55</v>
      </c>
      <c r="N10" s="1" t="s">
        <v>55</v>
      </c>
      <c r="O10" s="16">
        <v>46082</v>
      </c>
      <c r="P10" s="16">
        <v>46387</v>
      </c>
      <c r="Q10" s="17">
        <v>10.166666666666666</v>
      </c>
      <c r="R10" s="1">
        <f t="shared" si="2"/>
        <v>3</v>
      </c>
      <c r="S10" s="1">
        <v>3</v>
      </c>
      <c r="T10" s="6">
        <v>180000</v>
      </c>
      <c r="U10" s="6">
        <f t="shared" si="0"/>
        <v>208800</v>
      </c>
      <c r="V10" s="6">
        <v>450000</v>
      </c>
      <c r="W10" s="6">
        <f t="shared" si="1"/>
        <v>522000</v>
      </c>
      <c r="X10" s="1">
        <v>3</v>
      </c>
    </row>
    <row r="11" spans="1:43" x14ac:dyDescent="0.25">
      <c r="A11" s="5" t="s">
        <v>51</v>
      </c>
      <c r="B11" s="15" t="s">
        <v>52</v>
      </c>
      <c r="H11" s="1" t="s">
        <v>53</v>
      </c>
      <c r="I11" s="35" t="s">
        <v>54</v>
      </c>
      <c r="J11" s="1">
        <v>7</v>
      </c>
      <c r="K11" s="2" t="s">
        <v>60</v>
      </c>
      <c r="L11" s="1">
        <v>7</v>
      </c>
      <c r="M11" s="1" t="s">
        <v>55</v>
      </c>
      <c r="N11" s="1" t="s">
        <v>55</v>
      </c>
      <c r="O11" s="16">
        <v>46082</v>
      </c>
      <c r="P11" s="16">
        <v>46387</v>
      </c>
      <c r="Q11" s="17">
        <v>10.166666666666666</v>
      </c>
      <c r="R11" s="1">
        <f t="shared" si="2"/>
        <v>16</v>
      </c>
      <c r="S11" s="1">
        <v>16</v>
      </c>
      <c r="T11" s="6">
        <v>1000000</v>
      </c>
      <c r="U11" s="6">
        <f t="shared" si="0"/>
        <v>1160000</v>
      </c>
      <c r="V11" s="6">
        <v>2500000</v>
      </c>
      <c r="W11" s="6">
        <f t="shared" si="1"/>
        <v>2900000</v>
      </c>
      <c r="X11" s="1">
        <v>16</v>
      </c>
      <c r="Y11" s="6"/>
    </row>
    <row r="12" spans="1:43" x14ac:dyDescent="0.25">
      <c r="A12" s="5" t="s">
        <v>51</v>
      </c>
      <c r="B12" s="15" t="s">
        <v>52</v>
      </c>
      <c r="H12" s="1" t="s">
        <v>53</v>
      </c>
      <c r="I12" s="35" t="s">
        <v>54</v>
      </c>
      <c r="J12" s="1">
        <v>8</v>
      </c>
      <c r="K12" s="2" t="s">
        <v>61</v>
      </c>
      <c r="L12" s="1">
        <v>2</v>
      </c>
      <c r="M12" s="1" t="s">
        <v>55</v>
      </c>
      <c r="N12" s="1" t="s">
        <v>55</v>
      </c>
      <c r="O12" s="16">
        <v>46082</v>
      </c>
      <c r="P12" s="16">
        <v>46387</v>
      </c>
      <c r="Q12" s="17">
        <v>10.166666666666666</v>
      </c>
      <c r="R12" s="1">
        <f t="shared" si="2"/>
        <v>8</v>
      </c>
      <c r="S12" s="1">
        <v>8</v>
      </c>
      <c r="T12" s="6">
        <v>500000</v>
      </c>
      <c r="U12" s="6">
        <f t="shared" si="0"/>
        <v>580000</v>
      </c>
      <c r="V12" s="6">
        <v>1250000</v>
      </c>
      <c r="W12" s="6">
        <f t="shared" si="1"/>
        <v>1450000</v>
      </c>
      <c r="X12" s="1">
        <v>8</v>
      </c>
    </row>
    <row r="13" spans="1:43" x14ac:dyDescent="0.25">
      <c r="A13" s="5" t="s">
        <v>51</v>
      </c>
      <c r="B13" s="15" t="s">
        <v>52</v>
      </c>
      <c r="H13" s="1" t="s">
        <v>53</v>
      </c>
      <c r="I13" s="35" t="s">
        <v>54</v>
      </c>
      <c r="J13" s="1">
        <v>9</v>
      </c>
      <c r="K13" s="2" t="s">
        <v>62</v>
      </c>
      <c r="L13" s="1">
        <v>1</v>
      </c>
      <c r="M13" s="1" t="s">
        <v>55</v>
      </c>
      <c r="N13" s="1" t="s">
        <v>55</v>
      </c>
      <c r="O13" s="16">
        <v>46082</v>
      </c>
      <c r="P13" s="16">
        <v>46387</v>
      </c>
      <c r="Q13" s="17">
        <v>10.166666666666666</v>
      </c>
      <c r="R13" s="1">
        <f t="shared" si="2"/>
        <v>3</v>
      </c>
      <c r="S13" s="1">
        <v>3</v>
      </c>
      <c r="T13" s="6">
        <v>180000</v>
      </c>
      <c r="U13" s="6">
        <f t="shared" si="0"/>
        <v>208800</v>
      </c>
      <c r="V13" s="6">
        <v>450000</v>
      </c>
      <c r="W13" s="6">
        <f t="shared" si="1"/>
        <v>522000</v>
      </c>
      <c r="X13" s="1">
        <v>3</v>
      </c>
    </row>
    <row r="14" spans="1:43" x14ac:dyDescent="0.25">
      <c r="A14" s="5" t="s">
        <v>51</v>
      </c>
      <c r="B14" s="15" t="s">
        <v>52</v>
      </c>
      <c r="H14" s="1" t="s">
        <v>53</v>
      </c>
      <c r="I14" s="35" t="s">
        <v>54</v>
      </c>
      <c r="J14" s="1">
        <v>10</v>
      </c>
      <c r="K14" s="2" t="s">
        <v>63</v>
      </c>
      <c r="L14" s="1">
        <v>3</v>
      </c>
      <c r="M14" s="1" t="s">
        <v>55</v>
      </c>
      <c r="N14" s="1" t="s">
        <v>55</v>
      </c>
      <c r="O14" s="16">
        <v>46082</v>
      </c>
      <c r="P14" s="16">
        <v>46387</v>
      </c>
      <c r="Q14" s="17">
        <v>10.166666666666666</v>
      </c>
      <c r="R14" s="1">
        <f t="shared" si="2"/>
        <v>10</v>
      </c>
      <c r="S14" s="1">
        <v>10</v>
      </c>
      <c r="T14" s="6">
        <v>600000</v>
      </c>
      <c r="U14" s="6">
        <f t="shared" si="0"/>
        <v>696000</v>
      </c>
      <c r="V14" s="6">
        <v>1500000</v>
      </c>
      <c r="W14" s="6">
        <f t="shared" si="1"/>
        <v>1740000</v>
      </c>
      <c r="X14" s="1">
        <v>10</v>
      </c>
    </row>
    <row r="15" spans="1:43" x14ac:dyDescent="0.25">
      <c r="A15" s="5" t="s">
        <v>51</v>
      </c>
      <c r="B15" s="15" t="s">
        <v>52</v>
      </c>
      <c r="H15" s="1" t="s">
        <v>53</v>
      </c>
      <c r="I15" s="35" t="s">
        <v>54</v>
      </c>
      <c r="J15" s="1">
        <v>11</v>
      </c>
      <c r="K15" s="2" t="s">
        <v>64</v>
      </c>
      <c r="L15" s="1">
        <v>4</v>
      </c>
      <c r="M15" s="1" t="s">
        <v>55</v>
      </c>
      <c r="N15" s="1" t="s">
        <v>55</v>
      </c>
      <c r="O15" s="16">
        <v>46082</v>
      </c>
      <c r="P15" s="16">
        <v>46387</v>
      </c>
      <c r="Q15" s="17">
        <v>10.166666666666666</v>
      </c>
      <c r="R15" s="1">
        <f t="shared" si="2"/>
        <v>20</v>
      </c>
      <c r="S15" s="1">
        <v>20</v>
      </c>
      <c r="T15" s="6">
        <v>1180000</v>
      </c>
      <c r="U15" s="6">
        <f t="shared" si="0"/>
        <v>1368800</v>
      </c>
      <c r="V15" s="6">
        <v>2950000</v>
      </c>
      <c r="W15" s="6">
        <f t="shared" si="1"/>
        <v>3422000</v>
      </c>
      <c r="X15" s="1">
        <v>20</v>
      </c>
    </row>
    <row r="16" spans="1:43" x14ac:dyDescent="0.25">
      <c r="A16" s="5" t="s">
        <v>51</v>
      </c>
      <c r="B16" s="15" t="s">
        <v>52</v>
      </c>
      <c r="H16" s="1" t="s">
        <v>53</v>
      </c>
      <c r="I16" s="35" t="s">
        <v>54</v>
      </c>
      <c r="J16" s="1">
        <v>12</v>
      </c>
      <c r="K16" s="2" t="s">
        <v>65</v>
      </c>
      <c r="L16" s="1">
        <v>1</v>
      </c>
      <c r="M16" s="1" t="s">
        <v>55</v>
      </c>
      <c r="N16" s="1" t="s">
        <v>55</v>
      </c>
      <c r="O16" s="16">
        <v>46082</v>
      </c>
      <c r="P16" s="16">
        <v>46387</v>
      </c>
      <c r="Q16" s="17">
        <v>10.166666666666666</v>
      </c>
      <c r="R16" s="1">
        <f t="shared" si="2"/>
        <v>3</v>
      </c>
      <c r="S16" s="1">
        <v>3</v>
      </c>
      <c r="T16" s="6">
        <v>180000</v>
      </c>
      <c r="U16" s="6">
        <f t="shared" si="0"/>
        <v>208800</v>
      </c>
      <c r="V16" s="6">
        <v>450000</v>
      </c>
      <c r="W16" s="6">
        <f t="shared" si="1"/>
        <v>522000</v>
      </c>
      <c r="X16" s="1">
        <v>3</v>
      </c>
    </row>
    <row r="17" spans="1:24" x14ac:dyDescent="0.25">
      <c r="A17" s="5" t="s">
        <v>51</v>
      </c>
      <c r="B17" s="15" t="s">
        <v>52</v>
      </c>
      <c r="H17" s="1" t="s">
        <v>53</v>
      </c>
      <c r="I17" s="35" t="s">
        <v>54</v>
      </c>
      <c r="J17" s="1">
        <v>13</v>
      </c>
      <c r="K17" s="2" t="s">
        <v>49</v>
      </c>
      <c r="L17" s="1">
        <v>2</v>
      </c>
      <c r="M17" s="1" t="s">
        <v>55</v>
      </c>
      <c r="N17" s="1" t="s">
        <v>55</v>
      </c>
      <c r="O17" s="16">
        <v>46082</v>
      </c>
      <c r="P17" s="16">
        <v>46387</v>
      </c>
      <c r="Q17" s="17">
        <v>10.166666666666666</v>
      </c>
      <c r="R17" s="1">
        <f t="shared" si="2"/>
        <v>6</v>
      </c>
      <c r="S17" s="1">
        <v>6</v>
      </c>
      <c r="T17" s="6">
        <v>400000</v>
      </c>
      <c r="U17" s="6">
        <f t="shared" si="0"/>
        <v>464000</v>
      </c>
      <c r="V17" s="6">
        <v>1000000</v>
      </c>
      <c r="W17" s="6">
        <f t="shared" si="1"/>
        <v>1160000</v>
      </c>
      <c r="X17" s="1">
        <v>6</v>
      </c>
    </row>
    <row r="18" spans="1:24" x14ac:dyDescent="0.25">
      <c r="A18" s="5" t="s">
        <v>51</v>
      </c>
      <c r="B18" s="15" t="s">
        <v>52</v>
      </c>
      <c r="H18" s="1" t="s">
        <v>53</v>
      </c>
      <c r="I18" s="35" t="s">
        <v>54</v>
      </c>
      <c r="J18" s="1">
        <v>14</v>
      </c>
      <c r="K18" s="2" t="s">
        <v>66</v>
      </c>
      <c r="L18" s="1">
        <v>21</v>
      </c>
      <c r="M18" s="1" t="s">
        <v>55</v>
      </c>
      <c r="N18" s="1" t="s">
        <v>55</v>
      </c>
      <c r="O18" s="16">
        <v>46082</v>
      </c>
      <c r="P18" s="16">
        <v>46387</v>
      </c>
      <c r="Q18" s="17">
        <v>10.166666666666666</v>
      </c>
      <c r="R18" s="1">
        <f t="shared" si="2"/>
        <v>42</v>
      </c>
      <c r="S18" s="1">
        <v>42</v>
      </c>
      <c r="T18" s="6">
        <v>2720000</v>
      </c>
      <c r="U18" s="6">
        <f t="shared" si="0"/>
        <v>3155200</v>
      </c>
      <c r="V18" s="6">
        <v>6800000</v>
      </c>
      <c r="W18" s="6">
        <f t="shared" si="1"/>
        <v>7888000</v>
      </c>
      <c r="X18" s="1">
        <v>42</v>
      </c>
    </row>
    <row r="19" spans="1:24" x14ac:dyDescent="0.25">
      <c r="A19" s="5" t="s">
        <v>51</v>
      </c>
      <c r="B19" s="15" t="s">
        <v>52</v>
      </c>
      <c r="H19" s="1" t="s">
        <v>53</v>
      </c>
      <c r="I19" s="35" t="s">
        <v>54</v>
      </c>
      <c r="J19" s="1">
        <v>15</v>
      </c>
      <c r="K19" s="2" t="s">
        <v>67</v>
      </c>
      <c r="L19" s="1">
        <v>6</v>
      </c>
      <c r="M19" s="1" t="s">
        <v>55</v>
      </c>
      <c r="N19" s="1" t="s">
        <v>55</v>
      </c>
      <c r="O19" s="16">
        <v>46082</v>
      </c>
      <c r="P19" s="16">
        <v>46387</v>
      </c>
      <c r="Q19" s="17">
        <v>10.166666666666666</v>
      </c>
      <c r="R19" s="1">
        <f t="shared" si="2"/>
        <v>15</v>
      </c>
      <c r="S19" s="1">
        <v>15</v>
      </c>
      <c r="T19" s="6">
        <v>1020000</v>
      </c>
      <c r="U19" s="6">
        <f t="shared" si="0"/>
        <v>1183200</v>
      </c>
      <c r="V19" s="6">
        <v>2550000</v>
      </c>
      <c r="W19" s="6">
        <f t="shared" si="1"/>
        <v>2958000</v>
      </c>
      <c r="X19" s="1">
        <v>15</v>
      </c>
    </row>
    <row r="20" spans="1:24" x14ac:dyDescent="0.25">
      <c r="A20" s="5" t="s">
        <v>51</v>
      </c>
      <c r="B20" s="15" t="s">
        <v>52</v>
      </c>
      <c r="H20" s="1" t="s">
        <v>53</v>
      </c>
      <c r="I20" s="35" t="s">
        <v>54</v>
      </c>
      <c r="J20" s="1">
        <v>16</v>
      </c>
      <c r="K20" s="2" t="s">
        <v>68</v>
      </c>
      <c r="L20" s="1">
        <v>1</v>
      </c>
      <c r="M20" s="1" t="s">
        <v>55</v>
      </c>
      <c r="N20" s="1" t="s">
        <v>55</v>
      </c>
      <c r="O20" s="16">
        <v>46082</v>
      </c>
      <c r="P20" s="16">
        <v>46387</v>
      </c>
      <c r="Q20" s="17">
        <v>10.166666666666666</v>
      </c>
      <c r="R20" s="1">
        <f t="shared" si="2"/>
        <v>3</v>
      </c>
      <c r="S20" s="1">
        <v>3</v>
      </c>
      <c r="T20" s="6">
        <v>180000</v>
      </c>
      <c r="U20" s="6">
        <f t="shared" si="0"/>
        <v>208800</v>
      </c>
      <c r="V20" s="6">
        <v>450000</v>
      </c>
      <c r="W20" s="6">
        <f t="shared" si="1"/>
        <v>522000</v>
      </c>
      <c r="X20" s="1">
        <v>3</v>
      </c>
    </row>
    <row r="21" spans="1:24" x14ac:dyDescent="0.25">
      <c r="A21" s="5" t="s">
        <v>51</v>
      </c>
      <c r="B21" s="15" t="s">
        <v>52</v>
      </c>
      <c r="H21" s="1" t="s">
        <v>53</v>
      </c>
      <c r="I21" s="35" t="s">
        <v>54</v>
      </c>
      <c r="J21" s="1">
        <v>17</v>
      </c>
      <c r="K21" s="2" t="s">
        <v>69</v>
      </c>
      <c r="L21" s="1">
        <v>2</v>
      </c>
      <c r="M21" s="1" t="s">
        <v>55</v>
      </c>
      <c r="N21" s="1" t="s">
        <v>55</v>
      </c>
      <c r="O21" s="16">
        <v>46082</v>
      </c>
      <c r="P21" s="16">
        <v>46387</v>
      </c>
      <c r="Q21" s="17">
        <v>10.166666666666666</v>
      </c>
      <c r="R21" s="1">
        <f t="shared" si="2"/>
        <v>4</v>
      </c>
      <c r="S21" s="1">
        <v>4</v>
      </c>
      <c r="T21" s="6">
        <v>240000</v>
      </c>
      <c r="U21" s="6">
        <f t="shared" si="0"/>
        <v>278400</v>
      </c>
      <c r="V21" s="6">
        <v>600000</v>
      </c>
      <c r="W21" s="6">
        <f t="shared" si="1"/>
        <v>696000</v>
      </c>
      <c r="X21" s="1">
        <v>4</v>
      </c>
    </row>
    <row r="22" spans="1:24" x14ac:dyDescent="0.25">
      <c r="A22" s="5" t="s">
        <v>51</v>
      </c>
      <c r="B22" s="15" t="s">
        <v>52</v>
      </c>
      <c r="H22" s="1" t="s">
        <v>53</v>
      </c>
      <c r="I22" s="35" t="s">
        <v>54</v>
      </c>
      <c r="J22" s="1">
        <v>18</v>
      </c>
      <c r="K22" s="2" t="s">
        <v>70</v>
      </c>
      <c r="L22" s="1">
        <v>1</v>
      </c>
      <c r="M22" s="1" t="s">
        <v>55</v>
      </c>
      <c r="N22" s="1" t="s">
        <v>55</v>
      </c>
      <c r="O22" s="16">
        <v>46082</v>
      </c>
      <c r="P22" s="16">
        <v>46387</v>
      </c>
      <c r="Q22" s="17">
        <v>10.166666666666666</v>
      </c>
      <c r="R22" s="1">
        <f t="shared" si="2"/>
        <v>3</v>
      </c>
      <c r="S22" s="1">
        <v>3</v>
      </c>
      <c r="T22" s="6">
        <v>180000</v>
      </c>
      <c r="U22" s="6">
        <f t="shared" si="0"/>
        <v>208800</v>
      </c>
      <c r="V22" s="6">
        <v>450000</v>
      </c>
      <c r="W22" s="6">
        <f t="shared" si="1"/>
        <v>522000</v>
      </c>
      <c r="X22" s="1">
        <v>3</v>
      </c>
    </row>
    <row r="23" spans="1:24" x14ac:dyDescent="0.25">
      <c r="A23" s="5" t="s">
        <v>51</v>
      </c>
      <c r="B23" s="15" t="s">
        <v>52</v>
      </c>
      <c r="H23" s="1" t="s">
        <v>53</v>
      </c>
      <c r="I23" s="35" t="s">
        <v>54</v>
      </c>
      <c r="J23" s="1">
        <v>19</v>
      </c>
      <c r="K23" s="2" t="s">
        <v>71</v>
      </c>
      <c r="L23" s="1">
        <v>10</v>
      </c>
      <c r="M23" s="1" t="s">
        <v>55</v>
      </c>
      <c r="N23" s="1" t="s">
        <v>55</v>
      </c>
      <c r="O23" s="16">
        <v>46082</v>
      </c>
      <c r="P23" s="16">
        <v>46387</v>
      </c>
      <c r="Q23" s="17">
        <v>10.166666666666666</v>
      </c>
      <c r="R23" s="1">
        <f t="shared" si="2"/>
        <v>18</v>
      </c>
      <c r="S23" s="1">
        <v>18</v>
      </c>
      <c r="T23" s="6">
        <v>1180000</v>
      </c>
      <c r="U23" s="6">
        <f t="shared" si="0"/>
        <v>1368800</v>
      </c>
      <c r="V23" s="6">
        <v>2950000</v>
      </c>
      <c r="W23" s="6">
        <f t="shared" si="1"/>
        <v>3422000</v>
      </c>
      <c r="X23" s="1">
        <v>18</v>
      </c>
    </row>
    <row r="24" spans="1:24" x14ac:dyDescent="0.25">
      <c r="A24" s="5" t="s">
        <v>51</v>
      </c>
      <c r="B24" s="15" t="s">
        <v>52</v>
      </c>
      <c r="H24" s="1" t="s">
        <v>53</v>
      </c>
      <c r="I24" s="35" t="s">
        <v>54</v>
      </c>
      <c r="J24" s="1">
        <v>20</v>
      </c>
      <c r="K24" s="2" t="s">
        <v>72</v>
      </c>
      <c r="L24" s="1">
        <v>9</v>
      </c>
      <c r="M24" s="1" t="s">
        <v>55</v>
      </c>
      <c r="N24" s="1" t="s">
        <v>55</v>
      </c>
      <c r="O24" s="16">
        <v>46082</v>
      </c>
      <c r="P24" s="16">
        <v>46387</v>
      </c>
      <c r="Q24" s="17">
        <v>10.166666666666666</v>
      </c>
      <c r="R24" s="1">
        <f t="shared" si="2"/>
        <v>25</v>
      </c>
      <c r="S24" s="1">
        <v>25</v>
      </c>
      <c r="T24" s="6">
        <v>1700000</v>
      </c>
      <c r="U24" s="6">
        <f t="shared" si="0"/>
        <v>1972000</v>
      </c>
      <c r="V24" s="6">
        <v>4250000</v>
      </c>
      <c r="W24" s="6">
        <f t="shared" si="1"/>
        <v>4930000</v>
      </c>
      <c r="X24" s="1">
        <v>25</v>
      </c>
    </row>
    <row r="25" spans="1:24" x14ac:dyDescent="0.25">
      <c r="A25" s="5" t="s">
        <v>51</v>
      </c>
      <c r="B25" s="15" t="s">
        <v>52</v>
      </c>
      <c r="H25" s="1" t="s">
        <v>53</v>
      </c>
      <c r="I25" s="35" t="s">
        <v>54</v>
      </c>
      <c r="J25" s="1">
        <v>21</v>
      </c>
      <c r="K25" s="2" t="s">
        <v>73</v>
      </c>
      <c r="L25" s="1">
        <v>3</v>
      </c>
      <c r="M25" s="1" t="s">
        <v>55</v>
      </c>
      <c r="N25" s="1" t="s">
        <v>55</v>
      </c>
      <c r="O25" s="16">
        <v>46082</v>
      </c>
      <c r="P25" s="16">
        <v>46387</v>
      </c>
      <c r="Q25" s="17">
        <v>10.166666666666666</v>
      </c>
      <c r="R25" s="1">
        <f t="shared" si="2"/>
        <v>11</v>
      </c>
      <c r="S25" s="1">
        <v>11</v>
      </c>
      <c r="T25" s="6">
        <v>740000</v>
      </c>
      <c r="U25" s="6">
        <f t="shared" si="0"/>
        <v>858400</v>
      </c>
      <c r="V25" s="6">
        <v>1850000</v>
      </c>
      <c r="W25" s="6">
        <f t="shared" si="1"/>
        <v>2146000</v>
      </c>
      <c r="X25" s="1">
        <v>11</v>
      </c>
    </row>
    <row r="26" spans="1:24" x14ac:dyDescent="0.25">
      <c r="A26" s="5" t="s">
        <v>51</v>
      </c>
      <c r="B26" s="15" t="s">
        <v>52</v>
      </c>
      <c r="H26" s="1" t="s">
        <v>53</v>
      </c>
      <c r="I26" s="35" t="s">
        <v>54</v>
      </c>
      <c r="J26" s="1">
        <v>22</v>
      </c>
      <c r="K26" s="2" t="s">
        <v>74</v>
      </c>
      <c r="L26" s="1">
        <v>4</v>
      </c>
      <c r="M26" s="1" t="s">
        <v>55</v>
      </c>
      <c r="N26" s="1" t="s">
        <v>55</v>
      </c>
      <c r="O26" s="16">
        <v>46082</v>
      </c>
      <c r="P26" s="16">
        <v>46387</v>
      </c>
      <c r="Q26" s="17">
        <v>10.166666666666666</v>
      </c>
      <c r="R26" s="1">
        <f t="shared" si="2"/>
        <v>13</v>
      </c>
      <c r="S26" s="1">
        <v>13</v>
      </c>
      <c r="T26" s="6">
        <v>820000</v>
      </c>
      <c r="U26" s="6">
        <f t="shared" si="0"/>
        <v>951200</v>
      </c>
      <c r="V26" s="6">
        <v>2050000</v>
      </c>
      <c r="W26" s="6">
        <f t="shared" si="1"/>
        <v>2378000</v>
      </c>
      <c r="X26" s="1">
        <v>13</v>
      </c>
    </row>
    <row r="27" spans="1:24" x14ac:dyDescent="0.25">
      <c r="A27" s="5" t="s">
        <v>51</v>
      </c>
      <c r="B27" s="15" t="s">
        <v>52</v>
      </c>
      <c r="H27" s="1" t="s">
        <v>53</v>
      </c>
      <c r="I27" s="35" t="s">
        <v>54</v>
      </c>
      <c r="J27" s="1">
        <v>23</v>
      </c>
      <c r="K27" s="2" t="s">
        <v>75</v>
      </c>
      <c r="L27" s="1">
        <v>8</v>
      </c>
      <c r="M27" s="1" t="s">
        <v>55</v>
      </c>
      <c r="N27" s="1" t="s">
        <v>55</v>
      </c>
      <c r="O27" s="16">
        <v>46082</v>
      </c>
      <c r="P27" s="16">
        <v>46387</v>
      </c>
      <c r="Q27" s="17">
        <v>10.166666666666666</v>
      </c>
      <c r="R27" s="1">
        <f t="shared" si="2"/>
        <v>17</v>
      </c>
      <c r="S27" s="1">
        <v>17</v>
      </c>
      <c r="T27" s="6">
        <v>1140000</v>
      </c>
      <c r="U27" s="6">
        <f t="shared" si="0"/>
        <v>1322400</v>
      </c>
      <c r="V27" s="6">
        <v>2850000</v>
      </c>
      <c r="W27" s="6">
        <f t="shared" si="1"/>
        <v>3306000</v>
      </c>
      <c r="X27" s="1">
        <v>17</v>
      </c>
    </row>
    <row r="28" spans="1:24" x14ac:dyDescent="0.25">
      <c r="A28" s="5" t="s">
        <v>51</v>
      </c>
      <c r="B28" s="15" t="s">
        <v>52</v>
      </c>
      <c r="H28" s="1" t="s">
        <v>53</v>
      </c>
      <c r="I28" s="35" t="s">
        <v>54</v>
      </c>
      <c r="J28" s="1">
        <v>24</v>
      </c>
      <c r="K28" s="2" t="s">
        <v>76</v>
      </c>
      <c r="L28" s="1">
        <v>1</v>
      </c>
      <c r="M28" s="1" t="s">
        <v>55</v>
      </c>
      <c r="N28" s="1" t="s">
        <v>55</v>
      </c>
      <c r="O28" s="16">
        <v>46082</v>
      </c>
      <c r="P28" s="16">
        <v>46387</v>
      </c>
      <c r="Q28" s="17">
        <v>10.166666666666666</v>
      </c>
      <c r="R28" s="1">
        <f t="shared" si="2"/>
        <v>3</v>
      </c>
      <c r="S28" s="1">
        <v>3</v>
      </c>
      <c r="T28" s="6">
        <v>480000</v>
      </c>
      <c r="U28" s="6">
        <f t="shared" si="0"/>
        <v>556800</v>
      </c>
      <c r="V28" s="6">
        <v>1200000</v>
      </c>
      <c r="W28" s="6">
        <f t="shared" si="1"/>
        <v>1392000</v>
      </c>
      <c r="X28" s="1">
        <v>3</v>
      </c>
    </row>
    <row r="29" spans="1:24" x14ac:dyDescent="0.25">
      <c r="A29" s="5" t="s">
        <v>51</v>
      </c>
      <c r="B29" s="15" t="s">
        <v>52</v>
      </c>
      <c r="H29" s="1" t="s">
        <v>53</v>
      </c>
      <c r="I29" s="35" t="s">
        <v>54</v>
      </c>
      <c r="J29" s="1">
        <v>25</v>
      </c>
      <c r="K29" s="2" t="s">
        <v>77</v>
      </c>
      <c r="L29" s="1">
        <v>8</v>
      </c>
      <c r="M29" s="1" t="s">
        <v>55</v>
      </c>
      <c r="N29" s="1" t="s">
        <v>55</v>
      </c>
      <c r="O29" s="16">
        <v>46082</v>
      </c>
      <c r="P29" s="16">
        <v>46387</v>
      </c>
      <c r="Q29" s="17">
        <v>10.166666666666666</v>
      </c>
      <c r="R29" s="1">
        <f t="shared" si="2"/>
        <v>31</v>
      </c>
      <c r="S29" s="1">
        <v>31</v>
      </c>
      <c r="T29" s="6">
        <v>1780000</v>
      </c>
      <c r="U29" s="6">
        <f t="shared" si="0"/>
        <v>2064800</v>
      </c>
      <c r="V29" s="6">
        <v>4450000</v>
      </c>
      <c r="W29" s="6">
        <f t="shared" si="1"/>
        <v>5162000</v>
      </c>
      <c r="X29" s="1">
        <v>31</v>
      </c>
    </row>
    <row r="30" spans="1:24" x14ac:dyDescent="0.25">
      <c r="A30" s="5" t="s">
        <v>51</v>
      </c>
      <c r="B30" s="15" t="s">
        <v>52</v>
      </c>
      <c r="H30" s="1" t="s">
        <v>53</v>
      </c>
      <c r="I30" s="35" t="s">
        <v>54</v>
      </c>
      <c r="J30" s="1">
        <v>26</v>
      </c>
      <c r="K30" s="2" t="s">
        <v>78</v>
      </c>
      <c r="L30" s="1">
        <v>4</v>
      </c>
      <c r="M30" s="1" t="s">
        <v>55</v>
      </c>
      <c r="N30" s="1" t="s">
        <v>55</v>
      </c>
      <c r="O30" s="16">
        <v>46082</v>
      </c>
      <c r="P30" s="16">
        <v>46387</v>
      </c>
      <c r="Q30" s="17">
        <v>10.166666666666666</v>
      </c>
      <c r="R30" s="1">
        <f t="shared" si="2"/>
        <v>11</v>
      </c>
      <c r="S30" s="1">
        <v>11</v>
      </c>
      <c r="T30" s="6">
        <v>660000</v>
      </c>
      <c r="U30" s="6">
        <f t="shared" si="0"/>
        <v>765600</v>
      </c>
      <c r="V30" s="6">
        <v>1650000</v>
      </c>
      <c r="W30" s="6">
        <f t="shared" si="1"/>
        <v>1914000</v>
      </c>
      <c r="X30" s="1">
        <v>11</v>
      </c>
    </row>
    <row r="31" spans="1:24" x14ac:dyDescent="0.25">
      <c r="A31" s="5" t="s">
        <v>51</v>
      </c>
      <c r="B31" s="15" t="s">
        <v>52</v>
      </c>
      <c r="H31" s="1" t="s">
        <v>53</v>
      </c>
      <c r="I31" s="35" t="s">
        <v>54</v>
      </c>
      <c r="J31" s="1">
        <v>27</v>
      </c>
      <c r="K31" s="2" t="s">
        <v>79</v>
      </c>
      <c r="L31" s="1">
        <v>4</v>
      </c>
      <c r="M31" s="1" t="s">
        <v>55</v>
      </c>
      <c r="N31" s="1" t="s">
        <v>55</v>
      </c>
      <c r="O31" s="16">
        <v>46082</v>
      </c>
      <c r="P31" s="16">
        <v>46387</v>
      </c>
      <c r="Q31" s="17">
        <v>10.166666666666666</v>
      </c>
      <c r="R31" s="1">
        <f t="shared" si="2"/>
        <v>15</v>
      </c>
      <c r="S31" s="1">
        <v>15</v>
      </c>
      <c r="T31" s="6">
        <v>931600</v>
      </c>
      <c r="U31" s="6">
        <f t="shared" si="0"/>
        <v>1080656</v>
      </c>
      <c r="V31" s="6">
        <v>2329000</v>
      </c>
      <c r="W31" s="6">
        <f t="shared" si="1"/>
        <v>2701640</v>
      </c>
      <c r="X31" s="1">
        <v>15</v>
      </c>
    </row>
    <row r="32" spans="1:24" x14ac:dyDescent="0.25">
      <c r="A32" s="5" t="s">
        <v>51</v>
      </c>
      <c r="B32" s="15" t="s">
        <v>52</v>
      </c>
      <c r="H32" s="1" t="s">
        <v>53</v>
      </c>
      <c r="I32" s="35" t="s">
        <v>54</v>
      </c>
      <c r="J32" s="1">
        <v>28</v>
      </c>
      <c r="K32" s="2" t="s">
        <v>80</v>
      </c>
      <c r="L32" s="1">
        <v>2</v>
      </c>
      <c r="M32" s="1" t="s">
        <v>55</v>
      </c>
      <c r="N32" s="1" t="s">
        <v>55</v>
      </c>
      <c r="O32" s="16">
        <v>46082</v>
      </c>
      <c r="P32" s="16">
        <v>46387</v>
      </c>
      <c r="Q32" s="17">
        <v>10.166666666666666</v>
      </c>
      <c r="R32" s="1">
        <f t="shared" si="2"/>
        <v>9</v>
      </c>
      <c r="S32" s="1">
        <v>9</v>
      </c>
      <c r="T32" s="6">
        <v>600000</v>
      </c>
      <c r="U32" s="6">
        <f t="shared" si="0"/>
        <v>696000</v>
      </c>
      <c r="V32" s="6">
        <v>1500000</v>
      </c>
      <c r="W32" s="6">
        <f t="shared" si="1"/>
        <v>1740000</v>
      </c>
      <c r="X32" s="1">
        <v>9</v>
      </c>
    </row>
    <row r="33" spans="1:28" x14ac:dyDescent="0.25">
      <c r="A33" s="5" t="s">
        <v>51</v>
      </c>
      <c r="B33" s="15" t="s">
        <v>52</v>
      </c>
      <c r="H33" s="1" t="s">
        <v>53</v>
      </c>
      <c r="I33" s="35" t="s">
        <v>54</v>
      </c>
      <c r="J33" s="1">
        <v>29</v>
      </c>
      <c r="K33" s="2" t="s">
        <v>81</v>
      </c>
      <c r="L33" s="1">
        <v>6</v>
      </c>
      <c r="M33" s="1" t="s">
        <v>55</v>
      </c>
      <c r="N33" s="1" t="s">
        <v>55</v>
      </c>
      <c r="O33" s="16">
        <v>46082</v>
      </c>
      <c r="P33" s="16">
        <v>46387</v>
      </c>
      <c r="Q33" s="17">
        <v>10.166666666666666</v>
      </c>
      <c r="R33" s="1">
        <f t="shared" si="2"/>
        <v>18</v>
      </c>
      <c r="S33" s="1">
        <v>18</v>
      </c>
      <c r="T33" s="6">
        <v>1120000</v>
      </c>
      <c r="U33" s="6">
        <f t="shared" si="0"/>
        <v>1299200</v>
      </c>
      <c r="V33" s="6">
        <v>2800000</v>
      </c>
      <c r="W33" s="6">
        <f t="shared" si="1"/>
        <v>3248000</v>
      </c>
      <c r="X33" s="1">
        <v>18</v>
      </c>
    </row>
    <row r="34" spans="1:28" x14ac:dyDescent="0.25">
      <c r="A34" s="5" t="s">
        <v>51</v>
      </c>
      <c r="B34" s="15" t="s">
        <v>52</v>
      </c>
      <c r="H34" s="1" t="s">
        <v>53</v>
      </c>
      <c r="I34" s="35" t="s">
        <v>54</v>
      </c>
      <c r="J34" s="1">
        <v>30</v>
      </c>
      <c r="K34" s="2" t="s">
        <v>82</v>
      </c>
      <c r="L34" s="1">
        <v>5</v>
      </c>
      <c r="M34" s="1" t="s">
        <v>55</v>
      </c>
      <c r="N34" s="1" t="s">
        <v>55</v>
      </c>
      <c r="O34" s="16">
        <v>46082</v>
      </c>
      <c r="P34" s="16">
        <v>46387</v>
      </c>
      <c r="Q34" s="17">
        <v>10.166666666666666</v>
      </c>
      <c r="R34" s="1">
        <f t="shared" si="2"/>
        <v>12</v>
      </c>
      <c r="S34" s="1">
        <v>12</v>
      </c>
      <c r="T34" s="6">
        <v>800000</v>
      </c>
      <c r="U34" s="6">
        <f t="shared" si="0"/>
        <v>928000</v>
      </c>
      <c r="V34" s="6">
        <v>2000000</v>
      </c>
      <c r="W34" s="6">
        <f t="shared" si="1"/>
        <v>2320000</v>
      </c>
      <c r="X34" s="1">
        <v>12</v>
      </c>
    </row>
    <row r="35" spans="1:28" x14ac:dyDescent="0.25">
      <c r="A35" s="5" t="s">
        <v>51</v>
      </c>
      <c r="B35" s="15" t="s">
        <v>52</v>
      </c>
      <c r="H35" s="1" t="s">
        <v>53</v>
      </c>
      <c r="I35" s="35" t="s">
        <v>54</v>
      </c>
      <c r="J35" s="1">
        <v>31</v>
      </c>
      <c r="K35" s="2" t="s">
        <v>83</v>
      </c>
      <c r="L35" s="1">
        <v>2</v>
      </c>
      <c r="M35" s="1" t="s">
        <v>55</v>
      </c>
      <c r="N35" s="1" t="s">
        <v>55</v>
      </c>
      <c r="O35" s="16">
        <v>46082</v>
      </c>
      <c r="P35" s="16">
        <v>46387</v>
      </c>
      <c r="Q35" s="17">
        <v>10.166666666666666</v>
      </c>
      <c r="R35" s="1">
        <f t="shared" si="2"/>
        <v>10</v>
      </c>
      <c r="S35" s="1">
        <v>10</v>
      </c>
      <c r="T35" s="6">
        <v>640000</v>
      </c>
      <c r="U35" s="6">
        <f t="shared" si="0"/>
        <v>742400</v>
      </c>
      <c r="V35" s="6">
        <v>1600000</v>
      </c>
      <c r="W35" s="6">
        <f t="shared" si="1"/>
        <v>1856000</v>
      </c>
      <c r="X35" s="1">
        <v>10</v>
      </c>
    </row>
    <row r="36" spans="1:28" x14ac:dyDescent="0.25">
      <c r="A36" s="5" t="s">
        <v>51</v>
      </c>
      <c r="B36" s="15" t="s">
        <v>52</v>
      </c>
      <c r="H36" s="1" t="s">
        <v>53</v>
      </c>
      <c r="I36" s="35" t="s">
        <v>54</v>
      </c>
      <c r="J36" s="1">
        <v>32</v>
      </c>
      <c r="K36" s="2" t="s">
        <v>84</v>
      </c>
      <c r="L36" s="1">
        <v>4</v>
      </c>
      <c r="M36" s="1" t="s">
        <v>55</v>
      </c>
      <c r="N36" s="1" t="s">
        <v>55</v>
      </c>
      <c r="O36" s="16">
        <v>46082</v>
      </c>
      <c r="P36" s="16">
        <v>46387</v>
      </c>
      <c r="Q36" s="17">
        <v>10.166666666666666</v>
      </c>
      <c r="R36" s="1">
        <f t="shared" si="2"/>
        <v>9</v>
      </c>
      <c r="S36" s="1">
        <v>9</v>
      </c>
      <c r="T36" s="6">
        <v>560000</v>
      </c>
      <c r="U36" s="6">
        <f t="shared" si="0"/>
        <v>649600</v>
      </c>
      <c r="V36" s="6">
        <v>1400000</v>
      </c>
      <c r="W36" s="6">
        <f t="shared" si="1"/>
        <v>1624000</v>
      </c>
      <c r="X36" s="1">
        <v>9</v>
      </c>
    </row>
    <row r="37" spans="1:28" x14ac:dyDescent="0.25">
      <c r="A37" s="3" t="s">
        <v>85</v>
      </c>
      <c r="B37" s="15" t="s">
        <v>86</v>
      </c>
      <c r="C37" s="1" t="s">
        <v>87</v>
      </c>
      <c r="H37" s="1" t="s">
        <v>88</v>
      </c>
      <c r="I37" s="35" t="s">
        <v>89</v>
      </c>
      <c r="J37" s="1">
        <v>1</v>
      </c>
      <c r="K37" s="2" t="s">
        <v>47</v>
      </c>
      <c r="L37" s="1">
        <v>2</v>
      </c>
      <c r="M37" s="1" t="s">
        <v>90</v>
      </c>
      <c r="N37" s="1" t="s">
        <v>90</v>
      </c>
      <c r="O37" s="16">
        <v>46082</v>
      </c>
      <c r="P37" s="16">
        <v>46234</v>
      </c>
      <c r="Q37" s="17">
        <v>5.0666666666666664</v>
      </c>
      <c r="R37" s="1">
        <f t="shared" si="2"/>
        <v>10</v>
      </c>
      <c r="S37" s="1">
        <v>10</v>
      </c>
      <c r="T37" s="6">
        <v>0</v>
      </c>
      <c r="U37" s="6">
        <v>0</v>
      </c>
      <c r="V37" s="6">
        <v>678413.2</v>
      </c>
      <c r="W37" s="6">
        <v>786959.31</v>
      </c>
      <c r="X37" s="1">
        <v>10</v>
      </c>
      <c r="Y37" s="1">
        <v>10</v>
      </c>
      <c r="AA37" s="6" t="s">
        <v>91</v>
      </c>
      <c r="AB37" s="6"/>
    </row>
    <row r="38" spans="1:28" x14ac:dyDescent="0.25">
      <c r="A38" s="3" t="s">
        <v>92</v>
      </c>
      <c r="B38" s="15" t="s">
        <v>86</v>
      </c>
      <c r="C38" s="1" t="s">
        <v>87</v>
      </c>
      <c r="H38" s="1" t="s">
        <v>88</v>
      </c>
      <c r="I38" s="35" t="s">
        <v>89</v>
      </c>
      <c r="J38" s="1">
        <v>2</v>
      </c>
      <c r="K38" s="2" t="s">
        <v>47</v>
      </c>
      <c r="L38" s="1">
        <v>1</v>
      </c>
      <c r="M38" s="1" t="s">
        <v>90</v>
      </c>
      <c r="N38" s="1" t="s">
        <v>90</v>
      </c>
      <c r="O38" s="16">
        <v>46082</v>
      </c>
      <c r="P38" s="16">
        <v>46234</v>
      </c>
      <c r="Q38" s="17">
        <v>5.0666666666666664</v>
      </c>
      <c r="R38" s="1">
        <f t="shared" si="2"/>
        <v>3</v>
      </c>
      <c r="S38" s="1">
        <v>3</v>
      </c>
      <c r="T38" s="6">
        <v>0</v>
      </c>
      <c r="U38" s="6">
        <v>0</v>
      </c>
      <c r="V38" s="6">
        <v>220398.9</v>
      </c>
      <c r="W38" s="6">
        <v>255662.72</v>
      </c>
      <c r="X38" s="1">
        <v>3</v>
      </c>
      <c r="Y38" s="1">
        <v>3</v>
      </c>
      <c r="AA38" s="6">
        <v>14693.26</v>
      </c>
    </row>
    <row r="39" spans="1:28" x14ac:dyDescent="0.25">
      <c r="A39" s="3" t="s">
        <v>93</v>
      </c>
      <c r="B39" s="15" t="s">
        <v>86</v>
      </c>
      <c r="C39" s="1" t="s">
        <v>87</v>
      </c>
      <c r="H39" s="1" t="s">
        <v>88</v>
      </c>
      <c r="I39" s="35" t="s">
        <v>89</v>
      </c>
      <c r="J39" s="1">
        <v>3</v>
      </c>
      <c r="K39" s="2" t="s">
        <v>70</v>
      </c>
      <c r="L39" s="1">
        <v>2</v>
      </c>
      <c r="M39" s="1" t="s">
        <v>90</v>
      </c>
      <c r="N39" s="1" t="s">
        <v>90</v>
      </c>
      <c r="O39" s="16">
        <v>46082</v>
      </c>
      <c r="P39" s="16">
        <v>46234</v>
      </c>
      <c r="Q39" s="17">
        <v>5.0666666666666664</v>
      </c>
      <c r="R39" s="1">
        <f t="shared" ref="R39:R70" si="3">S39</f>
        <v>3</v>
      </c>
      <c r="S39" s="1">
        <v>3</v>
      </c>
      <c r="T39" s="6">
        <v>0</v>
      </c>
      <c r="U39" s="6">
        <v>0</v>
      </c>
      <c r="V39" s="6">
        <v>227359.2</v>
      </c>
      <c r="W39" s="6">
        <v>263736.67</v>
      </c>
      <c r="X39" s="1">
        <v>3</v>
      </c>
      <c r="Y39" s="1">
        <v>3</v>
      </c>
      <c r="AA39" s="6">
        <v>15157.28</v>
      </c>
    </row>
    <row r="40" spans="1:28" x14ac:dyDescent="0.25">
      <c r="A40" s="3" t="s">
        <v>94</v>
      </c>
      <c r="B40" s="15" t="s">
        <v>86</v>
      </c>
      <c r="C40" s="1" t="s">
        <v>87</v>
      </c>
      <c r="H40" s="1" t="s">
        <v>88</v>
      </c>
      <c r="I40" s="35" t="s">
        <v>89</v>
      </c>
      <c r="J40" s="1">
        <v>4</v>
      </c>
      <c r="K40" s="2" t="s">
        <v>72</v>
      </c>
      <c r="L40" s="1">
        <v>1</v>
      </c>
      <c r="M40" s="1" t="s">
        <v>90</v>
      </c>
      <c r="N40" s="1" t="s">
        <v>90</v>
      </c>
      <c r="O40" s="16">
        <v>46082</v>
      </c>
      <c r="P40" s="16">
        <v>46234</v>
      </c>
      <c r="Q40" s="17">
        <v>5.0666666666666664</v>
      </c>
      <c r="R40" s="1">
        <f t="shared" si="3"/>
        <v>1</v>
      </c>
      <c r="S40" s="1">
        <v>1</v>
      </c>
      <c r="T40" s="6">
        <v>0</v>
      </c>
      <c r="U40" s="6">
        <v>0</v>
      </c>
      <c r="V40" s="6">
        <v>86483.6</v>
      </c>
      <c r="W40" s="6">
        <v>100320.98</v>
      </c>
      <c r="X40" s="1">
        <v>1</v>
      </c>
      <c r="Y40" s="1">
        <v>1</v>
      </c>
      <c r="AA40" s="6">
        <v>17296.72</v>
      </c>
    </row>
    <row r="41" spans="1:28" x14ac:dyDescent="0.25">
      <c r="A41" s="3" t="s">
        <v>95</v>
      </c>
      <c r="B41" s="15" t="s">
        <v>86</v>
      </c>
      <c r="C41" s="1" t="s">
        <v>87</v>
      </c>
      <c r="H41" s="1" t="s">
        <v>88</v>
      </c>
      <c r="I41" s="35" t="s">
        <v>89</v>
      </c>
      <c r="J41" s="1">
        <v>5</v>
      </c>
      <c r="K41" s="2" t="s">
        <v>73</v>
      </c>
      <c r="L41" s="1">
        <v>3</v>
      </c>
      <c r="M41" s="1" t="s">
        <v>90</v>
      </c>
      <c r="N41" s="1" t="s">
        <v>90</v>
      </c>
      <c r="O41" s="16">
        <v>46082</v>
      </c>
      <c r="P41" s="16">
        <v>46234</v>
      </c>
      <c r="Q41" s="17">
        <v>5.0666666666666664</v>
      </c>
      <c r="R41" s="1">
        <f t="shared" si="3"/>
        <v>3</v>
      </c>
      <c r="S41" s="1">
        <v>3</v>
      </c>
      <c r="T41" s="6">
        <v>0</v>
      </c>
      <c r="U41" s="6">
        <v>0</v>
      </c>
      <c r="V41" s="6">
        <v>248297.7</v>
      </c>
      <c r="W41" s="6">
        <v>288025.33</v>
      </c>
      <c r="X41" s="1">
        <v>3</v>
      </c>
      <c r="Y41" s="1">
        <v>3</v>
      </c>
      <c r="AA41" s="6">
        <v>16553.18</v>
      </c>
    </row>
    <row r="42" spans="1:28" x14ac:dyDescent="0.25">
      <c r="A42" s="3" t="s">
        <v>96</v>
      </c>
      <c r="B42" s="15" t="s">
        <v>86</v>
      </c>
      <c r="C42" s="1" t="s">
        <v>87</v>
      </c>
      <c r="H42" s="1" t="s">
        <v>88</v>
      </c>
      <c r="I42" s="35" t="s">
        <v>89</v>
      </c>
      <c r="J42" s="1">
        <v>6</v>
      </c>
      <c r="K42" s="2" t="s">
        <v>83</v>
      </c>
      <c r="L42" s="1">
        <v>1</v>
      </c>
      <c r="M42" s="1" t="s">
        <v>90</v>
      </c>
      <c r="N42" s="1" t="s">
        <v>90</v>
      </c>
      <c r="O42" s="16">
        <v>46082</v>
      </c>
      <c r="P42" s="16">
        <v>46234</v>
      </c>
      <c r="Q42" s="17">
        <v>5.0666666666666664</v>
      </c>
      <c r="R42" s="1">
        <f t="shared" si="3"/>
        <v>1</v>
      </c>
      <c r="S42" s="1">
        <v>1</v>
      </c>
      <c r="T42" s="6">
        <v>0</v>
      </c>
      <c r="U42" s="6">
        <v>0</v>
      </c>
      <c r="V42" s="6">
        <v>80608.25</v>
      </c>
      <c r="W42" s="6">
        <v>93505.57</v>
      </c>
      <c r="X42" s="1">
        <v>1</v>
      </c>
      <c r="Y42" s="1">
        <v>1</v>
      </c>
      <c r="AA42" s="6">
        <v>16121.65</v>
      </c>
    </row>
    <row r="43" spans="1:28" x14ac:dyDescent="0.25">
      <c r="A43" s="3" t="s">
        <v>97</v>
      </c>
      <c r="B43" s="15" t="s">
        <v>86</v>
      </c>
      <c r="C43" s="1" t="s">
        <v>87</v>
      </c>
      <c r="H43" s="1" t="s">
        <v>88</v>
      </c>
      <c r="I43" s="35" t="s">
        <v>89</v>
      </c>
      <c r="J43" s="1">
        <v>7</v>
      </c>
      <c r="K43" s="2" t="s">
        <v>81</v>
      </c>
      <c r="L43" s="1">
        <v>2</v>
      </c>
      <c r="M43" s="1" t="s">
        <v>90</v>
      </c>
      <c r="N43" s="1" t="s">
        <v>90</v>
      </c>
      <c r="O43" s="16">
        <v>46082</v>
      </c>
      <c r="P43" s="16">
        <v>46234</v>
      </c>
      <c r="Q43" s="17">
        <v>5.0666666666666664</v>
      </c>
      <c r="R43" s="1">
        <f t="shared" si="3"/>
        <v>5</v>
      </c>
      <c r="S43" s="1">
        <v>5</v>
      </c>
      <c r="T43" s="6">
        <v>0</v>
      </c>
      <c r="U43" s="6">
        <v>0</v>
      </c>
      <c r="V43" s="6">
        <v>389064.25</v>
      </c>
      <c r="W43" s="6">
        <v>451314.53</v>
      </c>
      <c r="X43" s="1">
        <v>5</v>
      </c>
      <c r="Y43" s="1">
        <v>5</v>
      </c>
      <c r="AA43" s="6">
        <v>15562.57</v>
      </c>
    </row>
    <row r="44" spans="1:28" x14ac:dyDescent="0.25">
      <c r="A44" s="3" t="s">
        <v>98</v>
      </c>
      <c r="B44" s="15" t="s">
        <v>86</v>
      </c>
      <c r="C44" s="1" t="s">
        <v>87</v>
      </c>
      <c r="H44" s="1" t="s">
        <v>88</v>
      </c>
      <c r="I44" s="35" t="s">
        <v>89</v>
      </c>
      <c r="J44" s="1">
        <v>8</v>
      </c>
      <c r="K44" s="2" t="s">
        <v>75</v>
      </c>
      <c r="L44" s="1">
        <v>1</v>
      </c>
      <c r="M44" s="1" t="s">
        <v>90</v>
      </c>
      <c r="N44" s="1" t="s">
        <v>90</v>
      </c>
      <c r="O44" s="16">
        <v>46082</v>
      </c>
      <c r="P44" s="16">
        <v>46234</v>
      </c>
      <c r="Q44" s="17">
        <v>5.0666666666666664</v>
      </c>
      <c r="R44" s="1">
        <f t="shared" si="3"/>
        <v>3</v>
      </c>
      <c r="S44" s="1">
        <v>3</v>
      </c>
      <c r="T44" s="6">
        <v>0</v>
      </c>
      <c r="U44" s="6">
        <v>0</v>
      </c>
      <c r="V44" s="6">
        <v>255942</v>
      </c>
      <c r="W44" s="6">
        <v>296892.71999999997</v>
      </c>
      <c r="X44" s="1">
        <v>3</v>
      </c>
      <c r="Y44" s="1">
        <v>3</v>
      </c>
      <c r="AA44" s="6">
        <v>17062.8</v>
      </c>
    </row>
    <row r="45" spans="1:28" x14ac:dyDescent="0.25">
      <c r="A45" s="3" t="s">
        <v>99</v>
      </c>
      <c r="B45" s="15" t="s">
        <v>86</v>
      </c>
      <c r="C45" s="1" t="s">
        <v>87</v>
      </c>
      <c r="H45" s="1" t="s">
        <v>88</v>
      </c>
      <c r="I45" s="35" t="s">
        <v>89</v>
      </c>
      <c r="J45" s="1">
        <v>9</v>
      </c>
      <c r="K45" s="2" t="s">
        <v>76</v>
      </c>
      <c r="L45" s="1">
        <v>2</v>
      </c>
      <c r="M45" s="1" t="s">
        <v>90</v>
      </c>
      <c r="N45" s="1" t="s">
        <v>90</v>
      </c>
      <c r="O45" s="16">
        <v>46082</v>
      </c>
      <c r="P45" s="16">
        <v>46234</v>
      </c>
      <c r="Q45" s="17">
        <v>5.0666666666666664</v>
      </c>
      <c r="R45" s="1">
        <f t="shared" si="3"/>
        <v>2</v>
      </c>
      <c r="S45" s="1">
        <v>2</v>
      </c>
      <c r="T45" s="6">
        <v>0</v>
      </c>
      <c r="U45" s="6">
        <v>0</v>
      </c>
      <c r="V45" s="6">
        <v>160994.1</v>
      </c>
      <c r="W45" s="6">
        <v>186753.16</v>
      </c>
      <c r="X45" s="1">
        <v>2</v>
      </c>
      <c r="Y45" s="1">
        <v>2</v>
      </c>
      <c r="AA45" s="6">
        <v>16099.41</v>
      </c>
    </row>
    <row r="46" spans="1:28" x14ac:dyDescent="0.25">
      <c r="A46" s="3" t="s">
        <v>100</v>
      </c>
      <c r="B46" s="15" t="s">
        <v>86</v>
      </c>
      <c r="C46" s="1" t="s">
        <v>87</v>
      </c>
      <c r="H46" s="1" t="s">
        <v>88</v>
      </c>
      <c r="I46" s="35" t="s">
        <v>89</v>
      </c>
      <c r="J46" s="1">
        <v>10</v>
      </c>
      <c r="K46" s="2" t="s">
        <v>62</v>
      </c>
      <c r="L46" s="1">
        <v>1</v>
      </c>
      <c r="M46" s="1" t="s">
        <v>90</v>
      </c>
      <c r="N46" s="1" t="s">
        <v>90</v>
      </c>
      <c r="O46" s="16">
        <v>46082</v>
      </c>
      <c r="P46" s="16">
        <v>46234</v>
      </c>
      <c r="Q46" s="17">
        <v>5.0666666666666664</v>
      </c>
      <c r="R46" s="1">
        <f t="shared" si="3"/>
        <v>2</v>
      </c>
      <c r="S46" s="1">
        <v>2</v>
      </c>
      <c r="T46" s="6">
        <v>0</v>
      </c>
      <c r="U46" s="6">
        <v>0</v>
      </c>
      <c r="V46" s="6">
        <v>150636.4</v>
      </c>
      <c r="W46" s="6">
        <v>174738.22</v>
      </c>
      <c r="X46" s="1">
        <v>2</v>
      </c>
      <c r="Y46" s="1">
        <v>2</v>
      </c>
      <c r="AA46" s="6">
        <v>15063.64</v>
      </c>
    </row>
    <row r="47" spans="1:28" x14ac:dyDescent="0.25">
      <c r="A47" s="3" t="s">
        <v>101</v>
      </c>
      <c r="B47" s="15" t="s">
        <v>86</v>
      </c>
      <c r="C47" s="1" t="s">
        <v>87</v>
      </c>
      <c r="H47" s="1" t="s">
        <v>88</v>
      </c>
      <c r="I47" s="35" t="s">
        <v>89</v>
      </c>
      <c r="J47" s="1">
        <v>11</v>
      </c>
      <c r="K47" s="2" t="s">
        <v>64</v>
      </c>
      <c r="L47" s="1">
        <v>2</v>
      </c>
      <c r="M47" s="1" t="s">
        <v>90</v>
      </c>
      <c r="N47" s="1" t="s">
        <v>90</v>
      </c>
      <c r="O47" s="16">
        <v>46082</v>
      </c>
      <c r="P47" s="16">
        <v>46234</v>
      </c>
      <c r="Q47" s="17">
        <v>5.0666666666666664</v>
      </c>
      <c r="R47" s="1">
        <f t="shared" si="3"/>
        <v>3</v>
      </c>
      <c r="S47" s="1">
        <v>3</v>
      </c>
      <c r="T47" s="6">
        <v>0</v>
      </c>
      <c r="U47" s="6">
        <v>0</v>
      </c>
      <c r="V47" s="6">
        <v>235563.75</v>
      </c>
      <c r="W47" s="6">
        <v>273253.95</v>
      </c>
      <c r="X47" s="1">
        <v>3</v>
      </c>
      <c r="Y47" s="1">
        <v>3</v>
      </c>
      <c r="AA47" s="6">
        <v>15704.25</v>
      </c>
    </row>
    <row r="48" spans="1:28" x14ac:dyDescent="0.25">
      <c r="A48" s="3" t="s">
        <v>102</v>
      </c>
      <c r="B48" s="15" t="s">
        <v>86</v>
      </c>
      <c r="C48" s="1" t="s">
        <v>87</v>
      </c>
      <c r="H48" s="1" t="s">
        <v>88</v>
      </c>
      <c r="I48" s="35" t="s">
        <v>89</v>
      </c>
      <c r="J48" s="1">
        <v>12</v>
      </c>
      <c r="K48" s="2" t="s">
        <v>57</v>
      </c>
      <c r="L48" s="1">
        <v>2</v>
      </c>
      <c r="M48" s="1" t="s">
        <v>90</v>
      </c>
      <c r="N48" s="1" t="s">
        <v>90</v>
      </c>
      <c r="O48" s="16">
        <v>46082</v>
      </c>
      <c r="P48" s="16">
        <v>46234</v>
      </c>
      <c r="Q48" s="17">
        <v>5.0666666666666664</v>
      </c>
      <c r="R48" s="1">
        <f t="shared" si="3"/>
        <v>5</v>
      </c>
      <c r="S48" s="1">
        <v>5</v>
      </c>
      <c r="T48" s="6">
        <v>0</v>
      </c>
      <c r="U48" s="6">
        <v>0</v>
      </c>
      <c r="V48" s="6">
        <v>374817.75</v>
      </c>
      <c r="W48" s="6">
        <v>434788.59</v>
      </c>
      <c r="X48" s="1">
        <v>5</v>
      </c>
      <c r="Y48" s="1">
        <v>5</v>
      </c>
      <c r="AA48" s="6">
        <v>14992.71</v>
      </c>
    </row>
    <row r="49" spans="1:27" x14ac:dyDescent="0.25">
      <c r="A49" s="3" t="s">
        <v>103</v>
      </c>
      <c r="B49" s="15" t="s">
        <v>86</v>
      </c>
      <c r="C49" s="1" t="s">
        <v>87</v>
      </c>
      <c r="H49" s="1" t="s">
        <v>88</v>
      </c>
      <c r="I49" s="35" t="s">
        <v>89</v>
      </c>
      <c r="J49" s="1">
        <v>13</v>
      </c>
      <c r="K49" s="2" t="s">
        <v>60</v>
      </c>
      <c r="L49" s="1">
        <v>1</v>
      </c>
      <c r="M49" s="1" t="s">
        <v>90</v>
      </c>
      <c r="N49" s="1" t="s">
        <v>90</v>
      </c>
      <c r="O49" s="16">
        <v>46082</v>
      </c>
      <c r="P49" s="16">
        <v>46234</v>
      </c>
      <c r="Q49" s="17">
        <v>5.0666666666666664</v>
      </c>
      <c r="R49" s="1">
        <f t="shared" si="3"/>
        <v>1</v>
      </c>
      <c r="S49" s="1">
        <v>1</v>
      </c>
      <c r="T49" s="6">
        <v>0</v>
      </c>
      <c r="U49" s="6">
        <v>0</v>
      </c>
      <c r="V49" s="6">
        <v>76969.7</v>
      </c>
      <c r="W49" s="6">
        <v>89284.85</v>
      </c>
      <c r="X49" s="1">
        <v>1</v>
      </c>
      <c r="Y49" s="1">
        <v>1</v>
      </c>
      <c r="AA49" s="6">
        <v>15393.94</v>
      </c>
    </row>
    <row r="50" spans="1:27" x14ac:dyDescent="0.25">
      <c r="A50" s="3" t="s">
        <v>104</v>
      </c>
      <c r="B50" s="15" t="s">
        <v>86</v>
      </c>
      <c r="C50" s="1" t="s">
        <v>87</v>
      </c>
      <c r="H50" s="1" t="s">
        <v>88</v>
      </c>
      <c r="I50" s="35" t="s">
        <v>89</v>
      </c>
      <c r="J50" s="1">
        <v>14</v>
      </c>
      <c r="K50" s="2" t="s">
        <v>56</v>
      </c>
      <c r="L50" s="1">
        <v>2</v>
      </c>
      <c r="M50" s="1" t="s">
        <v>90</v>
      </c>
      <c r="N50" s="1" t="s">
        <v>90</v>
      </c>
      <c r="O50" s="16">
        <v>46082</v>
      </c>
      <c r="P50" s="16">
        <v>46234</v>
      </c>
      <c r="Q50" s="17">
        <v>5.0666666666666664</v>
      </c>
      <c r="R50" s="1">
        <f t="shared" si="3"/>
        <v>6</v>
      </c>
      <c r="S50" s="1">
        <v>6</v>
      </c>
      <c r="T50" s="6">
        <v>0</v>
      </c>
      <c r="U50" s="6">
        <v>0</v>
      </c>
      <c r="V50" s="6">
        <v>456716.1</v>
      </c>
      <c r="W50" s="6">
        <v>529790.68000000005</v>
      </c>
      <c r="X50" s="1">
        <v>6</v>
      </c>
      <c r="Y50" s="1">
        <v>6</v>
      </c>
      <c r="AA50" s="6">
        <v>15223.87</v>
      </c>
    </row>
    <row r="51" spans="1:27" x14ac:dyDescent="0.25">
      <c r="A51" s="3" t="s">
        <v>105</v>
      </c>
      <c r="B51" s="15" t="s">
        <v>86</v>
      </c>
      <c r="C51" s="1" t="s">
        <v>87</v>
      </c>
      <c r="H51" s="1" t="s">
        <v>88</v>
      </c>
      <c r="I51" s="35" t="s">
        <v>89</v>
      </c>
      <c r="J51" s="1">
        <v>15</v>
      </c>
      <c r="K51" s="2" t="s">
        <v>63</v>
      </c>
      <c r="L51" s="1">
        <v>2</v>
      </c>
      <c r="M51" s="1" t="s">
        <v>90</v>
      </c>
      <c r="N51" s="1" t="s">
        <v>90</v>
      </c>
      <c r="O51" s="16">
        <v>46082</v>
      </c>
      <c r="P51" s="16">
        <v>46234</v>
      </c>
      <c r="Q51" s="17">
        <v>5.0666666666666664</v>
      </c>
      <c r="R51" s="1">
        <f t="shared" si="3"/>
        <v>3</v>
      </c>
      <c r="S51" s="1">
        <v>3</v>
      </c>
      <c r="T51" s="6">
        <v>0</v>
      </c>
      <c r="U51" s="6">
        <v>0</v>
      </c>
      <c r="V51" s="6">
        <v>226428.3</v>
      </c>
      <c r="W51" s="6">
        <v>262656.83</v>
      </c>
      <c r="X51" s="1">
        <v>3</v>
      </c>
      <c r="Y51" s="1">
        <v>3</v>
      </c>
      <c r="AA51" s="6">
        <v>15095.22</v>
      </c>
    </row>
    <row r="52" spans="1:27" x14ac:dyDescent="0.25">
      <c r="A52" s="3" t="s">
        <v>106</v>
      </c>
      <c r="B52" s="15" t="s">
        <v>86</v>
      </c>
      <c r="C52" s="1" t="s">
        <v>87</v>
      </c>
      <c r="H52" s="1" t="s">
        <v>88</v>
      </c>
      <c r="I52" s="35" t="s">
        <v>89</v>
      </c>
      <c r="J52" s="1">
        <v>16</v>
      </c>
      <c r="K52" s="2" t="s">
        <v>58</v>
      </c>
      <c r="L52" s="1">
        <v>1</v>
      </c>
      <c r="M52" s="1" t="s">
        <v>90</v>
      </c>
      <c r="N52" s="1" t="s">
        <v>90</v>
      </c>
      <c r="O52" s="16">
        <v>46082</v>
      </c>
      <c r="P52" s="16">
        <v>46234</v>
      </c>
      <c r="Q52" s="17">
        <v>5.0666666666666664</v>
      </c>
      <c r="R52" s="1">
        <f t="shared" si="3"/>
        <v>2</v>
      </c>
      <c r="S52" s="1">
        <v>2</v>
      </c>
      <c r="T52" s="6">
        <v>0</v>
      </c>
      <c r="U52" s="6">
        <v>0</v>
      </c>
      <c r="V52" s="4">
        <v>153661.79999999999</v>
      </c>
      <c r="W52" s="6">
        <v>178247.69</v>
      </c>
      <c r="X52" s="1">
        <v>2</v>
      </c>
      <c r="Y52" s="1">
        <v>2</v>
      </c>
      <c r="AA52" s="6">
        <v>15366.18</v>
      </c>
    </row>
    <row r="53" spans="1:27" x14ac:dyDescent="0.25">
      <c r="A53" s="3" t="s">
        <v>107</v>
      </c>
      <c r="B53" s="15" t="s">
        <v>86</v>
      </c>
      <c r="C53" s="1" t="s">
        <v>87</v>
      </c>
      <c r="H53" s="1" t="s">
        <v>88</v>
      </c>
      <c r="I53" s="35" t="s">
        <v>89</v>
      </c>
      <c r="J53" s="1">
        <v>17</v>
      </c>
      <c r="K53" s="2" t="s">
        <v>65</v>
      </c>
      <c r="L53" s="1">
        <v>2</v>
      </c>
      <c r="M53" s="1" t="s">
        <v>90</v>
      </c>
      <c r="N53" s="1" t="s">
        <v>90</v>
      </c>
      <c r="O53" s="16">
        <v>46082</v>
      </c>
      <c r="P53" s="16">
        <v>46234</v>
      </c>
      <c r="Q53" s="17">
        <v>5.0666666666666664</v>
      </c>
      <c r="R53" s="1">
        <f t="shared" si="3"/>
        <v>2</v>
      </c>
      <c r="S53" s="1">
        <v>2</v>
      </c>
      <c r="T53" s="6">
        <v>0</v>
      </c>
      <c r="U53" s="6">
        <v>0</v>
      </c>
      <c r="V53" s="6">
        <v>78663.899999999994</v>
      </c>
      <c r="W53" s="6">
        <v>91250.12</v>
      </c>
      <c r="X53" s="1">
        <v>2</v>
      </c>
      <c r="Y53" s="1">
        <v>2</v>
      </c>
      <c r="AA53" s="6" t="s">
        <v>91</v>
      </c>
    </row>
    <row r="54" spans="1:27" x14ac:dyDescent="0.25">
      <c r="A54" s="3" t="s">
        <v>108</v>
      </c>
      <c r="B54" s="15" t="s">
        <v>86</v>
      </c>
      <c r="C54" s="1" t="s">
        <v>87</v>
      </c>
      <c r="H54" s="1" t="s">
        <v>88</v>
      </c>
      <c r="I54" s="35" t="s">
        <v>89</v>
      </c>
      <c r="J54" s="1">
        <v>18</v>
      </c>
      <c r="K54" s="2" t="s">
        <v>49</v>
      </c>
      <c r="L54" s="1">
        <v>3</v>
      </c>
      <c r="M54" s="1" t="s">
        <v>90</v>
      </c>
      <c r="N54" s="1" t="s">
        <v>90</v>
      </c>
      <c r="O54" s="16">
        <v>46082</v>
      </c>
      <c r="P54" s="16">
        <v>46234</v>
      </c>
      <c r="Q54" s="17">
        <v>5.0666666666666664</v>
      </c>
      <c r="R54" s="1">
        <f t="shared" si="3"/>
        <v>3</v>
      </c>
      <c r="S54" s="1">
        <v>3</v>
      </c>
      <c r="T54" s="6">
        <v>0</v>
      </c>
      <c r="U54" s="6">
        <v>0</v>
      </c>
      <c r="V54" s="6">
        <v>253128.75</v>
      </c>
      <c r="W54" s="6">
        <v>293629.34999999998</v>
      </c>
      <c r="X54" s="1">
        <v>3</v>
      </c>
      <c r="Y54" s="1">
        <v>3</v>
      </c>
      <c r="AA54" s="6">
        <v>16875.25</v>
      </c>
    </row>
    <row r="55" spans="1:27" x14ac:dyDescent="0.25">
      <c r="A55" s="3" t="s">
        <v>109</v>
      </c>
      <c r="B55" s="15" t="s">
        <v>86</v>
      </c>
      <c r="C55" s="1" t="s">
        <v>87</v>
      </c>
      <c r="H55" s="1" t="s">
        <v>88</v>
      </c>
      <c r="I55" s="35" t="s">
        <v>89</v>
      </c>
      <c r="J55" s="1">
        <v>19</v>
      </c>
      <c r="K55" s="2" t="s">
        <v>79</v>
      </c>
      <c r="L55" s="1">
        <v>6</v>
      </c>
      <c r="M55" s="1" t="s">
        <v>90</v>
      </c>
      <c r="N55" s="1" t="s">
        <v>90</v>
      </c>
      <c r="O55" s="16">
        <v>46082</v>
      </c>
      <c r="P55" s="16">
        <v>46234</v>
      </c>
      <c r="Q55" s="17">
        <v>5.0666666666666664</v>
      </c>
      <c r="R55" s="1">
        <f t="shared" si="3"/>
        <v>7</v>
      </c>
      <c r="S55" s="1">
        <v>7</v>
      </c>
      <c r="T55" s="6">
        <v>0</v>
      </c>
      <c r="U55" s="6">
        <v>0</v>
      </c>
      <c r="V55" s="6">
        <v>533381.80000000005</v>
      </c>
      <c r="W55" s="6">
        <v>618722.89</v>
      </c>
      <c r="X55" s="1">
        <v>7</v>
      </c>
      <c r="Y55" s="1">
        <v>7</v>
      </c>
      <c r="AA55" s="6">
        <v>15239.48</v>
      </c>
    </row>
    <row r="56" spans="1:27" x14ac:dyDescent="0.25">
      <c r="A56" s="3" t="s">
        <v>110</v>
      </c>
      <c r="B56" s="15" t="s">
        <v>86</v>
      </c>
      <c r="C56" s="1" t="s">
        <v>87</v>
      </c>
      <c r="H56" s="1" t="s">
        <v>88</v>
      </c>
      <c r="I56" s="35" t="s">
        <v>89</v>
      </c>
      <c r="J56" s="1">
        <v>20</v>
      </c>
      <c r="K56" s="2" t="s">
        <v>78</v>
      </c>
      <c r="L56" s="1">
        <v>2</v>
      </c>
      <c r="M56" s="1" t="s">
        <v>90</v>
      </c>
      <c r="N56" s="1" t="s">
        <v>90</v>
      </c>
      <c r="O56" s="16">
        <v>46082</v>
      </c>
      <c r="P56" s="16">
        <v>46234</v>
      </c>
      <c r="Q56" s="17">
        <v>5.0666666666666664</v>
      </c>
      <c r="R56" s="1">
        <f t="shared" si="3"/>
        <v>2</v>
      </c>
      <c r="S56" s="1">
        <v>2</v>
      </c>
      <c r="T56" s="6">
        <v>0</v>
      </c>
      <c r="U56" s="6">
        <v>0</v>
      </c>
      <c r="V56" s="6">
        <v>147555.79999999999</v>
      </c>
      <c r="W56" s="6">
        <v>171164.73</v>
      </c>
      <c r="X56" s="1">
        <v>2</v>
      </c>
      <c r="Y56" s="1">
        <v>2</v>
      </c>
      <c r="AA56" s="6">
        <v>14755.58</v>
      </c>
    </row>
    <row r="57" spans="1:27" x14ac:dyDescent="0.25">
      <c r="A57" s="3" t="s">
        <v>111</v>
      </c>
      <c r="B57" s="15" t="s">
        <v>86</v>
      </c>
      <c r="C57" s="1" t="s">
        <v>87</v>
      </c>
      <c r="H57" s="1" t="s">
        <v>88</v>
      </c>
      <c r="I57" s="35" t="s">
        <v>89</v>
      </c>
      <c r="J57" s="1">
        <v>21</v>
      </c>
      <c r="K57" s="2" t="s">
        <v>50</v>
      </c>
      <c r="L57" s="1">
        <v>9</v>
      </c>
      <c r="M57" s="1" t="s">
        <v>90</v>
      </c>
      <c r="N57" s="1" t="s">
        <v>90</v>
      </c>
      <c r="O57" s="16">
        <v>46082</v>
      </c>
      <c r="P57" s="16">
        <v>46234</v>
      </c>
      <c r="Q57" s="17">
        <v>5.0666666666666664</v>
      </c>
      <c r="R57" s="1">
        <f t="shared" si="3"/>
        <v>10</v>
      </c>
      <c r="S57" s="1">
        <v>10</v>
      </c>
      <c r="T57" s="6">
        <v>0</v>
      </c>
      <c r="U57" s="6">
        <v>0</v>
      </c>
      <c r="V57" s="6">
        <v>786655.5</v>
      </c>
      <c r="W57" s="6">
        <v>912520.38</v>
      </c>
      <c r="X57" s="1">
        <v>10</v>
      </c>
      <c r="Y57" s="1">
        <v>10</v>
      </c>
      <c r="AA57" s="6">
        <v>15733.11</v>
      </c>
    </row>
    <row r="58" spans="1:27" x14ac:dyDescent="0.25">
      <c r="A58" s="3" t="s">
        <v>112</v>
      </c>
      <c r="B58" s="15" t="s">
        <v>86</v>
      </c>
      <c r="C58" s="1" t="s">
        <v>87</v>
      </c>
      <c r="H58" s="1" t="s">
        <v>88</v>
      </c>
      <c r="I58" s="35" t="s">
        <v>89</v>
      </c>
      <c r="J58" s="1">
        <v>22</v>
      </c>
      <c r="K58" s="2" t="s">
        <v>82</v>
      </c>
      <c r="L58" s="1">
        <v>3</v>
      </c>
      <c r="M58" s="1" t="s">
        <v>90</v>
      </c>
      <c r="N58" s="1" t="s">
        <v>90</v>
      </c>
      <c r="O58" s="16">
        <v>46082</v>
      </c>
      <c r="P58" s="16">
        <v>46234</v>
      </c>
      <c r="Q58" s="17">
        <v>5.0666666666666664</v>
      </c>
      <c r="R58" s="1">
        <f t="shared" si="3"/>
        <v>4</v>
      </c>
      <c r="S58" s="1">
        <v>4</v>
      </c>
      <c r="T58" s="6">
        <v>0</v>
      </c>
      <c r="U58" s="6">
        <v>0</v>
      </c>
      <c r="V58" s="6">
        <v>325712</v>
      </c>
      <c r="W58" s="6">
        <v>377825.92</v>
      </c>
      <c r="X58" s="1">
        <v>4</v>
      </c>
      <c r="Y58" s="1">
        <v>4</v>
      </c>
      <c r="AA58" s="6">
        <v>16285.6</v>
      </c>
    </row>
    <row r="59" spans="1:27" x14ac:dyDescent="0.25">
      <c r="A59" s="3" t="s">
        <v>113</v>
      </c>
      <c r="B59" s="15" t="s">
        <v>86</v>
      </c>
      <c r="C59" s="1" t="s">
        <v>87</v>
      </c>
      <c r="H59" s="1" t="s">
        <v>88</v>
      </c>
      <c r="I59" s="35" t="s">
        <v>89</v>
      </c>
      <c r="J59" s="1">
        <v>23</v>
      </c>
      <c r="K59" s="2" t="s">
        <v>68</v>
      </c>
      <c r="L59" s="1">
        <v>1</v>
      </c>
      <c r="M59" s="1" t="s">
        <v>90</v>
      </c>
      <c r="N59" s="1" t="s">
        <v>90</v>
      </c>
      <c r="O59" s="16">
        <v>46082</v>
      </c>
      <c r="P59" s="16">
        <v>46234</v>
      </c>
      <c r="Q59" s="17">
        <v>5.0666666666666664</v>
      </c>
      <c r="R59" s="1">
        <f t="shared" si="3"/>
        <v>3</v>
      </c>
      <c r="S59" s="1">
        <v>3</v>
      </c>
      <c r="T59" s="6">
        <v>0</v>
      </c>
      <c r="U59" s="6">
        <v>0</v>
      </c>
      <c r="V59" s="6">
        <v>242316.75</v>
      </c>
      <c r="W59" s="6">
        <v>281087.43</v>
      </c>
      <c r="X59" s="1">
        <v>3</v>
      </c>
      <c r="Y59" s="1">
        <v>3</v>
      </c>
      <c r="AA59" s="6">
        <v>16154.45</v>
      </c>
    </row>
    <row r="60" spans="1:27" x14ac:dyDescent="0.25">
      <c r="A60" s="3" t="s">
        <v>114</v>
      </c>
      <c r="B60" s="15" t="s">
        <v>86</v>
      </c>
      <c r="C60" s="1" t="s">
        <v>87</v>
      </c>
      <c r="H60" s="1" t="s">
        <v>88</v>
      </c>
      <c r="I60" s="35" t="s">
        <v>89</v>
      </c>
      <c r="J60" s="1">
        <v>24</v>
      </c>
      <c r="K60" s="2" t="s">
        <v>74</v>
      </c>
      <c r="L60" s="1">
        <v>8</v>
      </c>
      <c r="M60" s="1" t="s">
        <v>90</v>
      </c>
      <c r="N60" s="1" t="s">
        <v>90</v>
      </c>
      <c r="O60" s="16">
        <v>46082</v>
      </c>
      <c r="P60" s="16">
        <v>46234</v>
      </c>
      <c r="Q60" s="17">
        <v>5.0666666666666664</v>
      </c>
      <c r="R60" s="1">
        <f t="shared" si="3"/>
        <v>10</v>
      </c>
      <c r="S60" s="1">
        <v>10</v>
      </c>
      <c r="T60" s="6">
        <v>0</v>
      </c>
      <c r="U60" s="6">
        <v>0</v>
      </c>
      <c r="V60" s="6">
        <v>780478</v>
      </c>
      <c r="W60" s="6">
        <v>905354.98</v>
      </c>
      <c r="X60" s="1">
        <v>10</v>
      </c>
      <c r="Y60" s="1">
        <v>10</v>
      </c>
      <c r="AA60" s="6">
        <v>15609.56</v>
      </c>
    </row>
    <row r="61" spans="1:27" x14ac:dyDescent="0.25">
      <c r="A61" s="3" t="s">
        <v>115</v>
      </c>
      <c r="B61" s="15" t="s">
        <v>86</v>
      </c>
      <c r="C61" s="1" t="s">
        <v>87</v>
      </c>
      <c r="H61" s="1" t="s">
        <v>88</v>
      </c>
      <c r="I61" s="35" t="s">
        <v>89</v>
      </c>
      <c r="J61" s="1">
        <v>25</v>
      </c>
      <c r="K61" s="2" t="s">
        <v>71</v>
      </c>
      <c r="L61" s="1">
        <v>2</v>
      </c>
      <c r="M61" s="1" t="s">
        <v>90</v>
      </c>
      <c r="N61" s="1" t="s">
        <v>90</v>
      </c>
      <c r="O61" s="16">
        <v>46082</v>
      </c>
      <c r="P61" s="16">
        <v>46234</v>
      </c>
      <c r="Q61" s="17">
        <v>5.0666666666666664</v>
      </c>
      <c r="R61" s="1">
        <f t="shared" si="3"/>
        <v>2</v>
      </c>
      <c r="S61" s="1">
        <v>2</v>
      </c>
      <c r="T61" s="6">
        <v>0</v>
      </c>
      <c r="U61" s="6">
        <v>0</v>
      </c>
      <c r="V61" s="6">
        <v>167477.9</v>
      </c>
      <c r="W61" s="6">
        <v>194274.36</v>
      </c>
      <c r="X61" s="1">
        <v>2</v>
      </c>
      <c r="Y61" s="1">
        <v>2</v>
      </c>
      <c r="AA61" s="6">
        <v>16747.39</v>
      </c>
    </row>
    <row r="62" spans="1:27" x14ac:dyDescent="0.25">
      <c r="A62" s="3" t="s">
        <v>116</v>
      </c>
      <c r="B62" s="15" t="s">
        <v>86</v>
      </c>
      <c r="C62" s="1" t="s">
        <v>87</v>
      </c>
      <c r="H62" s="1" t="s">
        <v>88</v>
      </c>
      <c r="I62" s="35" t="s">
        <v>89</v>
      </c>
      <c r="J62" s="1">
        <v>26</v>
      </c>
      <c r="K62" s="2" t="s">
        <v>84</v>
      </c>
      <c r="L62" s="1">
        <v>4</v>
      </c>
      <c r="M62" s="1" t="s">
        <v>90</v>
      </c>
      <c r="N62" s="1" t="s">
        <v>90</v>
      </c>
      <c r="O62" s="16">
        <v>46082</v>
      </c>
      <c r="P62" s="16">
        <v>46234</v>
      </c>
      <c r="Q62" s="17">
        <v>5.0666666666666664</v>
      </c>
      <c r="R62" s="1">
        <f t="shared" si="3"/>
        <v>4</v>
      </c>
      <c r="S62" s="1">
        <v>4</v>
      </c>
      <c r="T62" s="6">
        <v>0</v>
      </c>
      <c r="U62" s="6">
        <v>0</v>
      </c>
      <c r="V62" s="6">
        <v>310746.8</v>
      </c>
      <c r="W62" s="6">
        <v>360466.29</v>
      </c>
      <c r="X62" s="1">
        <v>4</v>
      </c>
      <c r="Y62" s="1">
        <v>4</v>
      </c>
      <c r="AA62" s="6">
        <v>15537.34</v>
      </c>
    </row>
    <row r="63" spans="1:27" x14ac:dyDescent="0.25">
      <c r="A63" s="3" t="s">
        <v>117</v>
      </c>
      <c r="B63" s="15" t="s">
        <v>86</v>
      </c>
      <c r="C63" s="1" t="s">
        <v>87</v>
      </c>
      <c r="H63" s="1" t="s">
        <v>88</v>
      </c>
      <c r="I63" s="35" t="s">
        <v>89</v>
      </c>
      <c r="J63" s="1">
        <v>27</v>
      </c>
      <c r="K63" s="2" t="s">
        <v>66</v>
      </c>
      <c r="L63" s="1">
        <v>1</v>
      </c>
      <c r="M63" s="1" t="s">
        <v>90</v>
      </c>
      <c r="N63" s="1" t="s">
        <v>90</v>
      </c>
      <c r="O63" s="16">
        <v>46082</v>
      </c>
      <c r="P63" s="16">
        <v>46234</v>
      </c>
      <c r="Q63" s="17">
        <v>5.0666666666666664</v>
      </c>
      <c r="R63" s="1">
        <f t="shared" si="3"/>
        <v>3</v>
      </c>
      <c r="S63" s="1">
        <v>3</v>
      </c>
      <c r="T63" s="6">
        <v>0</v>
      </c>
      <c r="U63" s="6">
        <v>0</v>
      </c>
      <c r="V63" s="6">
        <v>262703.09999999998</v>
      </c>
      <c r="W63" s="6">
        <v>304735.59999999998</v>
      </c>
      <c r="X63" s="1">
        <v>3</v>
      </c>
      <c r="Y63" s="1">
        <v>3</v>
      </c>
      <c r="AA63" s="6">
        <v>17513.54</v>
      </c>
    </row>
    <row r="64" spans="1:27" x14ac:dyDescent="0.25">
      <c r="A64" s="3" t="s">
        <v>118</v>
      </c>
      <c r="B64" s="15" t="s">
        <v>86</v>
      </c>
      <c r="C64" s="1" t="s">
        <v>87</v>
      </c>
      <c r="H64" s="1" t="s">
        <v>88</v>
      </c>
      <c r="I64" s="35" t="s">
        <v>89</v>
      </c>
      <c r="J64" s="1">
        <v>28</v>
      </c>
      <c r="K64" s="2" t="s">
        <v>77</v>
      </c>
      <c r="L64" s="1">
        <v>2</v>
      </c>
      <c r="M64" s="1" t="s">
        <v>90</v>
      </c>
      <c r="N64" s="1" t="s">
        <v>90</v>
      </c>
      <c r="O64" s="16">
        <v>46082</v>
      </c>
      <c r="P64" s="16">
        <v>46234</v>
      </c>
      <c r="Q64" s="17">
        <v>5.0666666666666664</v>
      </c>
      <c r="R64" s="1">
        <f t="shared" si="3"/>
        <v>4</v>
      </c>
      <c r="S64" s="1">
        <v>4</v>
      </c>
      <c r="T64" s="6">
        <v>0</v>
      </c>
      <c r="U64" s="6">
        <v>0</v>
      </c>
      <c r="V64" s="6">
        <v>299153.2</v>
      </c>
      <c r="W64" s="6">
        <v>347017.71</v>
      </c>
      <c r="X64" s="1">
        <v>4</v>
      </c>
      <c r="Y64" s="1">
        <v>4</v>
      </c>
      <c r="AA64" s="6">
        <v>14957.66</v>
      </c>
    </row>
    <row r="65" spans="1:28" x14ac:dyDescent="0.25">
      <c r="A65" s="3" t="s">
        <v>119</v>
      </c>
      <c r="B65" s="15" t="s">
        <v>86</v>
      </c>
      <c r="C65" s="1" t="s">
        <v>87</v>
      </c>
      <c r="H65" s="1" t="s">
        <v>88</v>
      </c>
      <c r="I65" s="35" t="s">
        <v>89</v>
      </c>
      <c r="J65" s="1">
        <v>29</v>
      </c>
      <c r="K65" s="2" t="s">
        <v>80</v>
      </c>
      <c r="L65" s="1">
        <v>1</v>
      </c>
      <c r="M65" s="1" t="s">
        <v>90</v>
      </c>
      <c r="N65" s="1" t="s">
        <v>90</v>
      </c>
      <c r="O65" s="16">
        <v>46082</v>
      </c>
      <c r="P65" s="16">
        <v>46234</v>
      </c>
      <c r="Q65" s="17">
        <v>5.0666666666666664</v>
      </c>
      <c r="R65" s="1">
        <f t="shared" si="3"/>
        <v>2</v>
      </c>
      <c r="S65" s="1">
        <v>2</v>
      </c>
      <c r="T65" s="6">
        <v>0</v>
      </c>
      <c r="U65" s="6">
        <v>0</v>
      </c>
      <c r="V65" s="6">
        <v>159819.5</v>
      </c>
      <c r="W65" s="6">
        <v>185390.62</v>
      </c>
      <c r="X65" s="1">
        <v>2</v>
      </c>
      <c r="Y65" s="1">
        <v>2</v>
      </c>
      <c r="AA65" s="6">
        <v>15981.95</v>
      </c>
    </row>
    <row r="66" spans="1:28" x14ac:dyDescent="0.25">
      <c r="A66" s="3" t="s">
        <v>120</v>
      </c>
      <c r="B66" s="15" t="s">
        <v>86</v>
      </c>
      <c r="C66" s="1" t="s">
        <v>87</v>
      </c>
      <c r="H66" s="1" t="s">
        <v>88</v>
      </c>
      <c r="I66" s="35" t="s">
        <v>89</v>
      </c>
      <c r="J66" s="1">
        <v>30</v>
      </c>
      <c r="K66" s="2" t="s">
        <v>69</v>
      </c>
      <c r="L66" s="1">
        <v>1</v>
      </c>
      <c r="M66" s="1" t="s">
        <v>90</v>
      </c>
      <c r="N66" s="1" t="s">
        <v>90</v>
      </c>
      <c r="O66" s="16">
        <v>46082</v>
      </c>
      <c r="P66" s="16">
        <v>46234</v>
      </c>
      <c r="Q66" s="17">
        <v>5.0666666666666664</v>
      </c>
      <c r="R66" s="1">
        <f t="shared" si="3"/>
        <v>3</v>
      </c>
      <c r="S66" s="1">
        <v>3</v>
      </c>
      <c r="T66" s="6">
        <v>0</v>
      </c>
      <c r="U66" s="6">
        <v>0</v>
      </c>
      <c r="V66" s="6">
        <v>226726.2</v>
      </c>
      <c r="W66" s="6">
        <v>263002.39</v>
      </c>
      <c r="X66" s="1">
        <v>3</v>
      </c>
      <c r="Y66" s="1">
        <v>3</v>
      </c>
      <c r="AA66" s="6">
        <v>15115.08</v>
      </c>
    </row>
    <row r="67" spans="1:28" x14ac:dyDescent="0.25">
      <c r="A67" s="1" t="s">
        <v>121</v>
      </c>
      <c r="B67" s="15" t="s">
        <v>122</v>
      </c>
      <c r="H67" s="1" t="s">
        <v>123</v>
      </c>
      <c r="I67" s="35" t="s">
        <v>124</v>
      </c>
      <c r="J67" s="1" t="s">
        <v>125</v>
      </c>
      <c r="K67" s="2" t="s">
        <v>47</v>
      </c>
      <c r="L67" s="1">
        <v>4</v>
      </c>
      <c r="M67" s="1" t="s">
        <v>126</v>
      </c>
      <c r="N67" s="1" t="s">
        <v>126</v>
      </c>
      <c r="O67" s="16">
        <v>46120</v>
      </c>
      <c r="P67" s="16">
        <v>46387</v>
      </c>
      <c r="Q67" s="17">
        <f>(P67-O67)/30</f>
        <v>8.9</v>
      </c>
      <c r="R67" s="1">
        <v>54</v>
      </c>
      <c r="S67" s="1">
        <v>60</v>
      </c>
      <c r="T67" s="38">
        <f>(U67*100%)/116%</f>
        <v>6289914.6465517245</v>
      </c>
      <c r="U67" s="38">
        <f>(AA67*R67)*Q67</f>
        <v>7296300.9900000002</v>
      </c>
      <c r="V67" s="38">
        <f>(W67*100%)/116%</f>
        <v>6988794.0517241387</v>
      </c>
      <c r="W67" s="38">
        <f>(AA67*S67)*Q67</f>
        <v>8107001.1000000006</v>
      </c>
      <c r="Y67" s="6"/>
      <c r="AA67" s="6">
        <v>15181.65</v>
      </c>
    </row>
    <row r="68" spans="1:28" x14ac:dyDescent="0.25">
      <c r="A68" s="1" t="s">
        <v>121</v>
      </c>
      <c r="B68" s="15" t="s">
        <v>122</v>
      </c>
      <c r="H68" s="1" t="s">
        <v>123</v>
      </c>
      <c r="I68" s="35" t="s">
        <v>124</v>
      </c>
      <c r="J68" s="1" t="s">
        <v>125</v>
      </c>
      <c r="K68" s="2" t="s">
        <v>57</v>
      </c>
      <c r="L68" s="1">
        <v>2</v>
      </c>
      <c r="M68" s="1" t="s">
        <v>126</v>
      </c>
      <c r="N68" s="1" t="s">
        <v>126</v>
      </c>
      <c r="O68" s="16">
        <v>46120</v>
      </c>
      <c r="P68" s="16">
        <v>46387</v>
      </c>
      <c r="Q68" s="17">
        <f>(P68-O68)/30</f>
        <v>8.9</v>
      </c>
      <c r="R68" s="1">
        <v>2</v>
      </c>
      <c r="S68" s="1">
        <v>2</v>
      </c>
      <c r="T68" s="38">
        <f>(U68*100%)/116%</f>
        <v>239668.25344827588</v>
      </c>
      <c r="U68" s="38">
        <f>(AA68*R68)*Q68</f>
        <v>278015.174</v>
      </c>
      <c r="V68" s="38">
        <f>(W68*100%)/116%</f>
        <v>239668.25344827588</v>
      </c>
      <c r="W68" s="38">
        <f>(AA68*S68)*Q68</f>
        <v>278015.174</v>
      </c>
      <c r="Y68" s="6"/>
      <c r="AA68" s="6">
        <v>15618.83</v>
      </c>
    </row>
    <row r="69" spans="1:28" x14ac:dyDescent="0.25">
      <c r="A69" s="1" t="s">
        <v>121</v>
      </c>
      <c r="B69" s="15" t="s">
        <v>122</v>
      </c>
      <c r="H69" s="1" t="s">
        <v>123</v>
      </c>
      <c r="I69" s="35" t="s">
        <v>124</v>
      </c>
      <c r="J69" s="1" t="s">
        <v>125</v>
      </c>
      <c r="K69" s="2" t="s">
        <v>71</v>
      </c>
      <c r="L69" s="1">
        <v>1</v>
      </c>
      <c r="M69" s="1" t="s">
        <v>126</v>
      </c>
      <c r="N69" s="1" t="s">
        <v>126</v>
      </c>
      <c r="O69" s="16">
        <v>46120</v>
      </c>
      <c r="P69" s="16">
        <v>46387</v>
      </c>
      <c r="Q69" s="17">
        <f>(P69-O69)/30</f>
        <v>8.9</v>
      </c>
      <c r="R69" s="1">
        <v>2</v>
      </c>
      <c r="S69" s="1">
        <v>2</v>
      </c>
      <c r="T69" s="38">
        <f>(U69*100%)/116%</f>
        <v>263864.28448275867</v>
      </c>
      <c r="U69" s="38">
        <f>(AA69*R69)*Q69</f>
        <v>306082.57000000007</v>
      </c>
      <c r="V69" s="38">
        <f>(W69*100%)/116%</f>
        <v>263864.28448275867</v>
      </c>
      <c r="W69" s="38">
        <f>(AA69*S69)*Q69</f>
        <v>306082.57000000007</v>
      </c>
      <c r="Y69" s="6"/>
      <c r="AA69" s="6">
        <v>17195.650000000001</v>
      </c>
    </row>
    <row r="70" spans="1:28" x14ac:dyDescent="0.25">
      <c r="A70" s="26" t="s">
        <v>127</v>
      </c>
      <c r="B70" s="15" t="s">
        <v>128</v>
      </c>
      <c r="C70" s="15"/>
      <c r="D70" s="15"/>
      <c r="E70" s="15"/>
      <c r="F70" s="15"/>
      <c r="G70" s="15"/>
      <c r="H70" s="15" t="s">
        <v>129</v>
      </c>
      <c r="I70" s="36" t="s">
        <v>130</v>
      </c>
      <c r="J70" s="15">
        <v>3</v>
      </c>
      <c r="K70" s="27" t="s">
        <v>83</v>
      </c>
      <c r="L70" s="15">
        <v>112</v>
      </c>
      <c r="M70" s="15" t="s">
        <v>131</v>
      </c>
      <c r="N70" s="1" t="s">
        <v>48</v>
      </c>
      <c r="O70" s="24">
        <v>46113</v>
      </c>
      <c r="P70" s="24">
        <v>46387</v>
      </c>
      <c r="Q70" s="17">
        <v>9.1333333333333329</v>
      </c>
      <c r="R70" s="15">
        <v>424</v>
      </c>
      <c r="S70" s="15">
        <v>1060</v>
      </c>
      <c r="T70" s="18">
        <v>94577537.519999996</v>
      </c>
      <c r="U70" s="18">
        <v>109709943.52319999</v>
      </c>
      <c r="V70" s="18">
        <v>236443843.80000001</v>
      </c>
      <c r="W70" s="18">
        <v>274274858.80800003</v>
      </c>
      <c r="X70" s="6"/>
      <c r="Y70" s="28"/>
      <c r="AA70" s="6">
        <v>24784.47</v>
      </c>
      <c r="AB70" s="28"/>
    </row>
    <row r="71" spans="1:28" x14ac:dyDescent="0.25">
      <c r="A71" s="26" t="s">
        <v>127</v>
      </c>
      <c r="B71" s="15" t="s">
        <v>128</v>
      </c>
      <c r="C71" s="15"/>
      <c r="D71" s="15"/>
      <c r="E71" s="15"/>
      <c r="F71" s="15"/>
      <c r="G71" s="15"/>
      <c r="H71" s="15" t="s">
        <v>129</v>
      </c>
      <c r="I71" s="36" t="s">
        <v>130</v>
      </c>
      <c r="J71" s="15">
        <v>6</v>
      </c>
      <c r="K71" s="27" t="s">
        <v>61</v>
      </c>
      <c r="L71" s="15">
        <v>134</v>
      </c>
      <c r="M71" s="15" t="s">
        <v>131</v>
      </c>
      <c r="N71" s="1" t="s">
        <v>48</v>
      </c>
      <c r="O71" s="24">
        <v>46113</v>
      </c>
      <c r="P71" s="24">
        <v>46387</v>
      </c>
      <c r="Q71" s="17">
        <v>9.1333333333333329</v>
      </c>
      <c r="R71" s="15">
        <v>445</v>
      </c>
      <c r="S71" s="15">
        <v>1112</v>
      </c>
      <c r="T71" s="18">
        <v>91487056.049999997</v>
      </c>
      <c r="U71" s="18">
        <v>106124985.01799999</v>
      </c>
      <c r="V71" s="18">
        <v>228614845.68000001</v>
      </c>
      <c r="W71" s="18">
        <v>265193220.98880002</v>
      </c>
      <c r="X71" s="6"/>
      <c r="Y71" s="28"/>
      <c r="AA71" s="6">
        <v>22843.21</v>
      </c>
    </row>
    <row r="72" spans="1:28" x14ac:dyDescent="0.25">
      <c r="A72" s="26" t="s">
        <v>127</v>
      </c>
      <c r="B72" s="15" t="s">
        <v>128</v>
      </c>
      <c r="C72" s="15"/>
      <c r="D72" s="15"/>
      <c r="E72" s="15"/>
      <c r="F72" s="15"/>
      <c r="G72" s="15"/>
      <c r="H72" s="15" t="s">
        <v>129</v>
      </c>
      <c r="I72" s="36" t="s">
        <v>130</v>
      </c>
      <c r="J72" s="15">
        <v>9</v>
      </c>
      <c r="K72" s="27" t="s">
        <v>57</v>
      </c>
      <c r="L72" s="15">
        <v>45</v>
      </c>
      <c r="M72" s="15" t="s">
        <v>131</v>
      </c>
      <c r="N72" s="1" t="s">
        <v>48</v>
      </c>
      <c r="O72" s="24">
        <v>46113</v>
      </c>
      <c r="P72" s="24">
        <v>46387</v>
      </c>
      <c r="Q72" s="17">
        <v>9.1333333333333329</v>
      </c>
      <c r="R72" s="15">
        <v>496</v>
      </c>
      <c r="S72" s="15">
        <v>1240</v>
      </c>
      <c r="T72" s="18">
        <v>107282062.08</v>
      </c>
      <c r="U72" s="18">
        <v>124447192.01279999</v>
      </c>
      <c r="V72" s="18">
        <v>268205155.19999999</v>
      </c>
      <c r="W72" s="18">
        <v>311117980.03200001</v>
      </c>
      <c r="X72" s="6"/>
      <c r="Y72" s="28"/>
      <c r="AA72" s="6">
        <v>24032.720000000001</v>
      </c>
    </row>
    <row r="73" spans="1:28" x14ac:dyDescent="0.25">
      <c r="A73" s="26" t="s">
        <v>127</v>
      </c>
      <c r="B73" s="15" t="s">
        <v>128</v>
      </c>
      <c r="C73" s="15"/>
      <c r="D73" s="15"/>
      <c r="E73" s="15"/>
      <c r="F73" s="15"/>
      <c r="G73" s="15"/>
      <c r="H73" s="15" t="s">
        <v>129</v>
      </c>
      <c r="I73" s="36" t="s">
        <v>130</v>
      </c>
      <c r="J73" s="15">
        <v>10</v>
      </c>
      <c r="K73" s="27" t="s">
        <v>58</v>
      </c>
      <c r="L73" s="15">
        <v>235</v>
      </c>
      <c r="M73" s="15" t="s">
        <v>131</v>
      </c>
      <c r="N73" s="1" t="s">
        <v>48</v>
      </c>
      <c r="O73" s="24">
        <v>46113</v>
      </c>
      <c r="P73" s="24">
        <v>46387</v>
      </c>
      <c r="Q73" s="17">
        <v>9.1333333333333329</v>
      </c>
      <c r="R73" s="15">
        <v>542</v>
      </c>
      <c r="S73" s="15">
        <v>1355</v>
      </c>
      <c r="T73" s="18">
        <v>109783975.31999999</v>
      </c>
      <c r="U73" s="18">
        <v>127349411.3712</v>
      </c>
      <c r="V73" s="18">
        <v>274459938.30000001</v>
      </c>
      <c r="W73" s="18">
        <v>318373528.42800003</v>
      </c>
      <c r="X73" s="6"/>
      <c r="Y73" s="28"/>
      <c r="AA73" s="6">
        <v>22505.94</v>
      </c>
    </row>
    <row r="74" spans="1:28" x14ac:dyDescent="0.25">
      <c r="A74" s="26" t="s">
        <v>127</v>
      </c>
      <c r="B74" s="15" t="s">
        <v>128</v>
      </c>
      <c r="C74" s="15"/>
      <c r="D74" s="15"/>
      <c r="E74" s="15"/>
      <c r="F74" s="15"/>
      <c r="G74" s="15"/>
      <c r="H74" s="15" t="s">
        <v>129</v>
      </c>
      <c r="I74" s="36" t="s">
        <v>130</v>
      </c>
      <c r="J74" s="15">
        <v>12</v>
      </c>
      <c r="K74" s="27" t="s">
        <v>78</v>
      </c>
      <c r="L74" s="15">
        <v>650</v>
      </c>
      <c r="M74" s="15" t="s">
        <v>131</v>
      </c>
      <c r="N74" s="1" t="s">
        <v>48</v>
      </c>
      <c r="O74" s="24">
        <v>46113</v>
      </c>
      <c r="P74" s="24">
        <v>46387</v>
      </c>
      <c r="Q74" s="17">
        <v>9.1333333333333329</v>
      </c>
      <c r="R74" s="15">
        <v>1346</v>
      </c>
      <c r="S74" s="15">
        <v>3365</v>
      </c>
      <c r="T74" s="18">
        <v>499564158.12</v>
      </c>
      <c r="U74" s="18">
        <v>579494423.41919994</v>
      </c>
      <c r="V74" s="18">
        <v>1248910395.3</v>
      </c>
      <c r="W74" s="18">
        <v>1448736058.5479999</v>
      </c>
      <c r="Y74" s="28"/>
      <c r="AA74" s="6">
        <v>41238.58</v>
      </c>
    </row>
    <row r="75" spans="1:28" x14ac:dyDescent="0.25">
      <c r="A75" s="5" t="s">
        <v>132</v>
      </c>
      <c r="B75" s="15" t="s">
        <v>44</v>
      </c>
      <c r="H75" s="15" t="s">
        <v>129</v>
      </c>
      <c r="I75" s="36" t="s">
        <v>130</v>
      </c>
      <c r="J75" s="1">
        <v>16</v>
      </c>
      <c r="K75" t="s">
        <v>84</v>
      </c>
      <c r="L75" s="1">
        <v>549</v>
      </c>
      <c r="M75" s="1" t="s">
        <v>48</v>
      </c>
      <c r="N75" s="1" t="s">
        <v>48</v>
      </c>
      <c r="O75" s="24">
        <v>46113</v>
      </c>
      <c r="P75" s="24">
        <v>46387</v>
      </c>
      <c r="Q75" s="17">
        <v>9.1333333333333329</v>
      </c>
      <c r="R75" s="1">
        <v>1307</v>
      </c>
      <c r="S75" s="1">
        <v>3267</v>
      </c>
      <c r="T75" s="6">
        <v>303603030</v>
      </c>
      <c r="U75" s="18">
        <v>352179514.80000001</v>
      </c>
      <c r="V75" s="18">
        <v>758891430</v>
      </c>
      <c r="W75" s="18">
        <v>880314058.79999995</v>
      </c>
      <c r="X75" s="6"/>
      <c r="Y75" s="28"/>
      <c r="AA75" s="6">
        <v>25810</v>
      </c>
    </row>
    <row r="76" spans="1:28" x14ac:dyDescent="0.25">
      <c r="A76" s="5" t="s">
        <v>133</v>
      </c>
      <c r="B76" s="15" t="s">
        <v>134</v>
      </c>
      <c r="H76" s="15" t="s">
        <v>129</v>
      </c>
      <c r="I76" s="36" t="s">
        <v>130</v>
      </c>
      <c r="J76" s="1">
        <v>4</v>
      </c>
      <c r="K76" s="2" t="s">
        <v>81</v>
      </c>
      <c r="L76" s="1">
        <v>365</v>
      </c>
      <c r="M76" s="1" t="s">
        <v>135</v>
      </c>
      <c r="N76" s="1" t="s">
        <v>136</v>
      </c>
      <c r="O76" s="16">
        <v>46113</v>
      </c>
      <c r="P76" s="16">
        <v>46387</v>
      </c>
      <c r="Q76" s="17">
        <v>9.1333333333333329</v>
      </c>
      <c r="R76" s="1">
        <v>3610</v>
      </c>
      <c r="S76" s="1">
        <v>9025</v>
      </c>
      <c r="T76" s="6">
        <v>757017000</v>
      </c>
      <c r="U76" s="6">
        <v>878139719.99999988</v>
      </c>
      <c r="V76" s="6">
        <v>1892542500</v>
      </c>
      <c r="W76" s="6">
        <v>2195349300</v>
      </c>
      <c r="AA76" s="6">
        <v>23300</v>
      </c>
    </row>
    <row r="77" spans="1:28" x14ac:dyDescent="0.25">
      <c r="A77" s="5" t="s">
        <v>133</v>
      </c>
      <c r="B77" s="15" t="s">
        <v>134</v>
      </c>
      <c r="H77" s="15" t="s">
        <v>129</v>
      </c>
      <c r="I77" s="36" t="s">
        <v>130</v>
      </c>
      <c r="J77" s="1">
        <v>5</v>
      </c>
      <c r="K77" s="2" t="s">
        <v>47</v>
      </c>
      <c r="L77" s="1">
        <v>310</v>
      </c>
      <c r="M77" s="1" t="s">
        <v>135</v>
      </c>
      <c r="N77" s="1" t="s">
        <v>136</v>
      </c>
      <c r="O77" s="16">
        <v>46113</v>
      </c>
      <c r="P77" s="16">
        <v>46387</v>
      </c>
      <c r="Q77" s="17">
        <v>9.1333333333333329</v>
      </c>
      <c r="R77" s="1">
        <v>1554</v>
      </c>
      <c r="S77" s="1">
        <v>3885</v>
      </c>
      <c r="T77" s="6">
        <v>339160500</v>
      </c>
      <c r="U77" s="6">
        <v>393426180</v>
      </c>
      <c r="V77" s="6">
        <v>847901250</v>
      </c>
      <c r="W77" s="6">
        <v>983565449.99999988</v>
      </c>
      <c r="Y77" s="1" t="s">
        <v>137</v>
      </c>
      <c r="AA77" s="6">
        <v>24250</v>
      </c>
    </row>
    <row r="78" spans="1:28" x14ac:dyDescent="0.25">
      <c r="A78" s="5" t="s">
        <v>133</v>
      </c>
      <c r="B78" s="15" t="s">
        <v>134</v>
      </c>
      <c r="H78" s="15" t="s">
        <v>129</v>
      </c>
      <c r="I78" s="36" t="s">
        <v>130</v>
      </c>
      <c r="J78" s="1">
        <v>7</v>
      </c>
      <c r="K78" s="2" t="s">
        <v>56</v>
      </c>
      <c r="L78" s="1">
        <v>1190</v>
      </c>
      <c r="M78" s="1" t="s">
        <v>135</v>
      </c>
      <c r="N78" s="1" t="s">
        <v>136</v>
      </c>
      <c r="O78" s="16">
        <v>46113</v>
      </c>
      <c r="P78" s="16">
        <v>46387</v>
      </c>
      <c r="Q78" s="17">
        <v>9.1333333333333329</v>
      </c>
      <c r="R78" s="1">
        <v>2927</v>
      </c>
      <c r="S78" s="1">
        <v>7317</v>
      </c>
      <c r="T78" s="6">
        <v>671746500</v>
      </c>
      <c r="U78" s="6">
        <v>779225940</v>
      </c>
      <c r="V78" s="6">
        <v>1679251500</v>
      </c>
      <c r="W78" s="6">
        <v>1947931739.9999998</v>
      </c>
      <c r="AA78" s="6">
        <v>25500</v>
      </c>
    </row>
    <row r="79" spans="1:28" x14ac:dyDescent="0.25">
      <c r="A79" s="5" t="s">
        <v>133</v>
      </c>
      <c r="B79" s="15" t="s">
        <v>134</v>
      </c>
      <c r="H79" s="15" t="s">
        <v>129</v>
      </c>
      <c r="I79" s="36" t="s">
        <v>130</v>
      </c>
      <c r="J79" s="1">
        <v>8</v>
      </c>
      <c r="K79" s="2" t="s">
        <v>64</v>
      </c>
      <c r="L79" s="1">
        <v>835</v>
      </c>
      <c r="M79" s="1" t="s">
        <v>135</v>
      </c>
      <c r="N79" s="1" t="s">
        <v>136</v>
      </c>
      <c r="O79" s="16">
        <v>46113</v>
      </c>
      <c r="P79" s="16">
        <v>46387</v>
      </c>
      <c r="Q79" s="17">
        <v>9.1333333333333329</v>
      </c>
      <c r="R79" s="1">
        <v>3354</v>
      </c>
      <c r="S79" s="1">
        <v>8385</v>
      </c>
      <c r="T79" s="6">
        <v>769743000</v>
      </c>
      <c r="U79" s="6">
        <v>892901879.99999988</v>
      </c>
      <c r="V79" s="6">
        <v>1924357500</v>
      </c>
      <c r="W79" s="6">
        <v>2232254700</v>
      </c>
      <c r="AA79" s="6">
        <v>25500</v>
      </c>
    </row>
    <row r="80" spans="1:28" x14ac:dyDescent="0.25">
      <c r="A80" s="5" t="s">
        <v>138</v>
      </c>
      <c r="B80" s="15" t="s">
        <v>86</v>
      </c>
      <c r="C80" s="1" t="s">
        <v>87</v>
      </c>
      <c r="H80" s="1" t="s">
        <v>139</v>
      </c>
      <c r="I80" s="35" t="s">
        <v>140</v>
      </c>
      <c r="J80" s="1">
        <v>1</v>
      </c>
      <c r="K80" s="2" t="s">
        <v>72</v>
      </c>
      <c r="L80" s="1">
        <v>1</v>
      </c>
      <c r="M80" s="1" t="s">
        <v>90</v>
      </c>
      <c r="N80" s="1" t="s">
        <v>90</v>
      </c>
      <c r="O80" s="16">
        <v>46097</v>
      </c>
      <c r="P80" s="16">
        <v>47192</v>
      </c>
      <c r="Q80" s="17">
        <v>36.5</v>
      </c>
      <c r="R80" s="1">
        <f t="shared" ref="R80:R94" si="4">S80</f>
        <v>11</v>
      </c>
      <c r="S80" s="1">
        <v>11</v>
      </c>
      <c r="T80" s="6">
        <v>11475011.475</v>
      </c>
      <c r="U80" s="6">
        <v>13311013.109999999</v>
      </c>
      <c r="V80" s="6">
        <v>11475011.475</v>
      </c>
      <c r="W80" s="6">
        <v>13311013.109999999</v>
      </c>
      <c r="X80" s="1">
        <v>11</v>
      </c>
      <c r="Y80" s="1">
        <v>11</v>
      </c>
    </row>
    <row r="81" spans="1:27" x14ac:dyDescent="0.25">
      <c r="A81" s="5" t="s">
        <v>138</v>
      </c>
      <c r="B81" s="15" t="s">
        <v>86</v>
      </c>
      <c r="C81" s="1" t="s">
        <v>87</v>
      </c>
      <c r="H81" s="1" t="s">
        <v>139</v>
      </c>
      <c r="I81" s="35" t="s">
        <v>140</v>
      </c>
      <c r="J81" s="1">
        <v>1</v>
      </c>
      <c r="K81" s="2" t="s">
        <v>73</v>
      </c>
      <c r="L81" s="1">
        <v>1</v>
      </c>
      <c r="M81" s="1" t="s">
        <v>90</v>
      </c>
      <c r="N81" s="1" t="s">
        <v>90</v>
      </c>
      <c r="O81" s="16">
        <v>46097</v>
      </c>
      <c r="P81" s="16">
        <v>47192</v>
      </c>
      <c r="Q81" s="17">
        <v>36.5</v>
      </c>
      <c r="R81" s="1">
        <f t="shared" si="4"/>
        <v>5</v>
      </c>
      <c r="S81" s="1">
        <v>5</v>
      </c>
      <c r="T81" s="6">
        <v>11475011.475</v>
      </c>
      <c r="U81" s="6">
        <v>13311013.109999999</v>
      </c>
      <c r="V81" s="6">
        <v>11475011.475</v>
      </c>
      <c r="W81" s="6">
        <v>13311013.109999999</v>
      </c>
      <c r="X81" s="1">
        <v>5</v>
      </c>
      <c r="Y81" s="1">
        <v>5</v>
      </c>
    </row>
    <row r="82" spans="1:27" x14ac:dyDescent="0.25">
      <c r="A82" s="5" t="s">
        <v>138</v>
      </c>
      <c r="B82" s="15" t="s">
        <v>86</v>
      </c>
      <c r="C82" s="1" t="s">
        <v>87</v>
      </c>
      <c r="H82" s="1" t="s">
        <v>139</v>
      </c>
      <c r="I82" s="35" t="s">
        <v>140</v>
      </c>
      <c r="J82" s="1">
        <v>1</v>
      </c>
      <c r="K82" s="2" t="s">
        <v>74</v>
      </c>
      <c r="L82" s="1">
        <v>1</v>
      </c>
      <c r="M82" s="1" t="s">
        <v>90</v>
      </c>
      <c r="N82" s="1" t="s">
        <v>90</v>
      </c>
      <c r="O82" s="16">
        <v>46097</v>
      </c>
      <c r="P82" s="16">
        <v>47192</v>
      </c>
      <c r="Q82" s="17">
        <v>36.5</v>
      </c>
      <c r="R82" s="1">
        <f t="shared" si="4"/>
        <v>5</v>
      </c>
      <c r="S82" s="1">
        <v>5</v>
      </c>
      <c r="T82" s="6">
        <v>11475011.475</v>
      </c>
      <c r="U82" s="6">
        <v>13311013.109999999</v>
      </c>
      <c r="V82" s="6">
        <v>11475011.475</v>
      </c>
      <c r="W82" s="6">
        <v>13311013.109999999</v>
      </c>
      <c r="X82" s="1">
        <v>5</v>
      </c>
      <c r="Y82" s="1">
        <v>5</v>
      </c>
    </row>
    <row r="83" spans="1:27" x14ac:dyDescent="0.25">
      <c r="A83" s="5" t="s">
        <v>138</v>
      </c>
      <c r="B83" s="15" t="s">
        <v>86</v>
      </c>
      <c r="C83" s="1" t="s">
        <v>87</v>
      </c>
      <c r="H83" s="1" t="s">
        <v>139</v>
      </c>
      <c r="I83" s="35" t="s">
        <v>140</v>
      </c>
      <c r="J83" s="1">
        <v>1</v>
      </c>
      <c r="K83" s="2" t="s">
        <v>71</v>
      </c>
      <c r="L83" s="1">
        <v>1</v>
      </c>
      <c r="M83" s="1" t="s">
        <v>90</v>
      </c>
      <c r="N83" s="1" t="s">
        <v>90</v>
      </c>
      <c r="O83" s="16">
        <v>46097</v>
      </c>
      <c r="P83" s="16">
        <v>47192</v>
      </c>
      <c r="Q83" s="17">
        <v>36.5</v>
      </c>
      <c r="R83" s="1">
        <f t="shared" si="4"/>
        <v>9</v>
      </c>
      <c r="S83" s="1">
        <v>9</v>
      </c>
      <c r="T83" s="6">
        <v>11475011.475</v>
      </c>
      <c r="U83" s="6">
        <v>13311013.109999999</v>
      </c>
      <c r="V83" s="6">
        <v>11475011.475</v>
      </c>
      <c r="W83" s="6">
        <v>13311013.109999999</v>
      </c>
      <c r="X83" s="1">
        <v>9</v>
      </c>
      <c r="Y83" s="1">
        <v>9</v>
      </c>
    </row>
    <row r="84" spans="1:27" x14ac:dyDescent="0.25">
      <c r="A84" s="5" t="s">
        <v>138</v>
      </c>
      <c r="B84" s="15" t="s">
        <v>86</v>
      </c>
      <c r="C84" s="1" t="s">
        <v>87</v>
      </c>
      <c r="H84" s="1" t="s">
        <v>139</v>
      </c>
      <c r="I84" s="35" t="s">
        <v>140</v>
      </c>
      <c r="J84" s="1">
        <v>1</v>
      </c>
      <c r="K84" s="2" t="s">
        <v>67</v>
      </c>
      <c r="L84" s="1">
        <v>1</v>
      </c>
      <c r="M84" s="1" t="s">
        <v>90</v>
      </c>
      <c r="N84" s="1" t="s">
        <v>90</v>
      </c>
      <c r="O84" s="16">
        <v>46097</v>
      </c>
      <c r="P84" s="16">
        <v>47192</v>
      </c>
      <c r="Q84" s="17">
        <v>36.5</v>
      </c>
      <c r="R84" s="1">
        <f t="shared" si="4"/>
        <v>15</v>
      </c>
      <c r="S84" s="1">
        <v>15</v>
      </c>
      <c r="T84" s="6">
        <v>11475011.475</v>
      </c>
      <c r="U84" s="6">
        <v>13311013.109999999</v>
      </c>
      <c r="V84" s="6">
        <v>11475011.475</v>
      </c>
      <c r="W84" s="6">
        <v>13311013.109999999</v>
      </c>
      <c r="X84" s="1">
        <v>15</v>
      </c>
      <c r="Y84" s="1">
        <v>15</v>
      </c>
    </row>
    <row r="85" spans="1:27" x14ac:dyDescent="0.25">
      <c r="A85" s="5" t="s">
        <v>138</v>
      </c>
      <c r="B85" s="15" t="s">
        <v>86</v>
      </c>
      <c r="C85" s="1" t="s">
        <v>87</v>
      </c>
      <c r="H85" s="1" t="s">
        <v>139</v>
      </c>
      <c r="I85" s="35" t="s">
        <v>140</v>
      </c>
      <c r="J85" s="1">
        <v>1</v>
      </c>
      <c r="K85" s="2" t="s">
        <v>75</v>
      </c>
      <c r="L85" s="1">
        <v>1</v>
      </c>
      <c r="M85" s="1" t="s">
        <v>90</v>
      </c>
      <c r="N85" s="1" t="s">
        <v>90</v>
      </c>
      <c r="O85" s="16">
        <v>46097</v>
      </c>
      <c r="P85" s="16">
        <v>47192</v>
      </c>
      <c r="Q85" s="17">
        <v>36.5</v>
      </c>
      <c r="R85" s="1">
        <f t="shared" si="4"/>
        <v>11</v>
      </c>
      <c r="S85" s="1">
        <v>11</v>
      </c>
      <c r="T85" s="6">
        <v>11475011.475</v>
      </c>
      <c r="U85" s="6">
        <v>13311013.109999999</v>
      </c>
      <c r="V85" s="6">
        <v>11475011.475</v>
      </c>
      <c r="W85" s="6">
        <v>13311013.109999999</v>
      </c>
      <c r="X85" s="1">
        <v>11</v>
      </c>
      <c r="Y85" s="1">
        <v>11</v>
      </c>
    </row>
    <row r="86" spans="1:27" x14ac:dyDescent="0.25">
      <c r="A86" s="5" t="s">
        <v>138</v>
      </c>
      <c r="B86" s="15" t="s">
        <v>86</v>
      </c>
      <c r="C86" s="1" t="s">
        <v>87</v>
      </c>
      <c r="H86" s="1" t="s">
        <v>139</v>
      </c>
      <c r="I86" s="35" t="s">
        <v>140</v>
      </c>
      <c r="J86" s="1">
        <v>1</v>
      </c>
      <c r="K86" s="2" t="s">
        <v>49</v>
      </c>
      <c r="L86" s="1">
        <v>1</v>
      </c>
      <c r="M86" s="1" t="s">
        <v>90</v>
      </c>
      <c r="N86" s="1" t="s">
        <v>90</v>
      </c>
      <c r="O86" s="16">
        <v>46097</v>
      </c>
      <c r="P86" s="16">
        <v>47192</v>
      </c>
      <c r="Q86" s="17">
        <v>36.5</v>
      </c>
      <c r="R86" s="1">
        <f t="shared" si="4"/>
        <v>16</v>
      </c>
      <c r="S86" s="1">
        <v>16</v>
      </c>
      <c r="T86" s="6">
        <v>11475011.475</v>
      </c>
      <c r="U86" s="6">
        <v>13311013.109999999</v>
      </c>
      <c r="V86" s="6">
        <v>11475011.475</v>
      </c>
      <c r="W86" s="6">
        <v>13311013.109999999</v>
      </c>
      <c r="X86" s="1">
        <v>16</v>
      </c>
      <c r="Y86" s="1">
        <v>16</v>
      </c>
      <c r="AA86" s="34"/>
    </row>
    <row r="87" spans="1:27" x14ac:dyDescent="0.25">
      <c r="A87" s="5" t="s">
        <v>138</v>
      </c>
      <c r="B87" s="15" t="s">
        <v>86</v>
      </c>
      <c r="C87" s="1" t="s">
        <v>87</v>
      </c>
      <c r="H87" s="1" t="s">
        <v>139</v>
      </c>
      <c r="I87" s="35" t="s">
        <v>140</v>
      </c>
      <c r="J87" s="1">
        <v>1</v>
      </c>
      <c r="K87" s="2" t="s">
        <v>66</v>
      </c>
      <c r="L87" s="1">
        <v>1</v>
      </c>
      <c r="M87" s="1" t="s">
        <v>90</v>
      </c>
      <c r="N87" s="1" t="s">
        <v>90</v>
      </c>
      <c r="O87" s="16">
        <v>46097</v>
      </c>
      <c r="P87" s="16">
        <v>47192</v>
      </c>
      <c r="Q87" s="17">
        <v>36.5</v>
      </c>
      <c r="R87" s="1">
        <f t="shared" si="4"/>
        <v>13</v>
      </c>
      <c r="S87" s="1">
        <v>13</v>
      </c>
      <c r="T87" s="6">
        <v>11475011.475</v>
      </c>
      <c r="U87" s="6">
        <v>13311013.109999999</v>
      </c>
      <c r="V87" s="6">
        <v>11475011.475</v>
      </c>
      <c r="W87" s="6">
        <v>13311013.109999999</v>
      </c>
      <c r="X87" s="1">
        <v>13</v>
      </c>
      <c r="Y87" s="1">
        <v>13</v>
      </c>
      <c r="AA87" s="34"/>
    </row>
    <row r="88" spans="1:27" x14ac:dyDescent="0.25">
      <c r="A88" s="5" t="s">
        <v>138</v>
      </c>
      <c r="B88" s="15" t="s">
        <v>86</v>
      </c>
      <c r="C88" s="1" t="s">
        <v>87</v>
      </c>
      <c r="H88" s="1" t="s">
        <v>139</v>
      </c>
      <c r="I88" s="35" t="s">
        <v>140</v>
      </c>
      <c r="J88" s="1">
        <v>4</v>
      </c>
      <c r="K88" s="2" t="s">
        <v>81</v>
      </c>
      <c r="L88" s="1">
        <v>1</v>
      </c>
      <c r="M88" s="1" t="s">
        <v>90</v>
      </c>
      <c r="N88" s="1" t="s">
        <v>90</v>
      </c>
      <c r="O88" s="16">
        <v>46097</v>
      </c>
      <c r="P88" s="16">
        <v>47192</v>
      </c>
      <c r="Q88" s="17">
        <v>36.5</v>
      </c>
      <c r="R88" s="1">
        <f t="shared" si="4"/>
        <v>8</v>
      </c>
      <c r="S88" s="1">
        <v>8</v>
      </c>
      <c r="T88" s="31">
        <v>10083882.034</v>
      </c>
      <c r="U88" s="31">
        <v>11697303.16</v>
      </c>
      <c r="V88" s="31">
        <v>10083882.034</v>
      </c>
      <c r="W88" s="31">
        <v>11697303.16</v>
      </c>
      <c r="X88" s="1">
        <v>8</v>
      </c>
      <c r="Y88" s="1">
        <v>8</v>
      </c>
    </row>
    <row r="89" spans="1:27" x14ac:dyDescent="0.25">
      <c r="A89" s="5" t="s">
        <v>138</v>
      </c>
      <c r="B89" s="15" t="s">
        <v>86</v>
      </c>
      <c r="C89" s="1" t="s">
        <v>87</v>
      </c>
      <c r="H89" s="1" t="s">
        <v>139</v>
      </c>
      <c r="I89" s="35" t="s">
        <v>140</v>
      </c>
      <c r="J89" s="1">
        <v>4</v>
      </c>
      <c r="K89" s="2" t="s">
        <v>64</v>
      </c>
      <c r="L89" s="1">
        <v>1</v>
      </c>
      <c r="M89" s="1" t="s">
        <v>90</v>
      </c>
      <c r="N89" s="1" t="s">
        <v>90</v>
      </c>
      <c r="O89" s="16">
        <v>46097</v>
      </c>
      <c r="P89" s="16">
        <v>47192</v>
      </c>
      <c r="Q89" s="17">
        <v>36.5</v>
      </c>
      <c r="R89" s="1">
        <f t="shared" si="4"/>
        <v>7</v>
      </c>
      <c r="S89" s="1">
        <v>7</v>
      </c>
      <c r="T89" s="31">
        <v>10083882.034</v>
      </c>
      <c r="U89" s="31">
        <v>11697303.16</v>
      </c>
      <c r="V89" s="31">
        <v>10083882.034</v>
      </c>
      <c r="W89" s="31">
        <v>11697303.16</v>
      </c>
      <c r="X89" s="1">
        <v>7</v>
      </c>
      <c r="Y89" s="1">
        <v>7</v>
      </c>
    </row>
    <row r="90" spans="1:27" x14ac:dyDescent="0.25">
      <c r="A90" s="5" t="s">
        <v>138</v>
      </c>
      <c r="B90" s="15" t="s">
        <v>86</v>
      </c>
      <c r="C90" s="1" t="s">
        <v>87</v>
      </c>
      <c r="H90" s="1" t="s">
        <v>139</v>
      </c>
      <c r="I90" s="35" t="s">
        <v>140</v>
      </c>
      <c r="J90" s="1">
        <v>4</v>
      </c>
      <c r="K90" s="2" t="s">
        <v>79</v>
      </c>
      <c r="L90" s="1">
        <v>1</v>
      </c>
      <c r="M90" s="1" t="s">
        <v>90</v>
      </c>
      <c r="N90" s="1" t="s">
        <v>90</v>
      </c>
      <c r="O90" s="16">
        <v>46097</v>
      </c>
      <c r="P90" s="16">
        <v>47192</v>
      </c>
      <c r="Q90" s="17">
        <v>36.5</v>
      </c>
      <c r="R90" s="1">
        <f t="shared" si="4"/>
        <v>15</v>
      </c>
      <c r="S90" s="1">
        <v>15</v>
      </c>
      <c r="T90" s="31">
        <v>10083882.034</v>
      </c>
      <c r="U90" s="31">
        <v>11697303.16</v>
      </c>
      <c r="V90" s="31">
        <v>10083882.034</v>
      </c>
      <c r="W90" s="31">
        <v>11697303.16</v>
      </c>
      <c r="X90" s="1">
        <v>15</v>
      </c>
      <c r="Y90" s="1">
        <v>15</v>
      </c>
    </row>
    <row r="91" spans="1:27" x14ac:dyDescent="0.25">
      <c r="A91" s="5" t="s">
        <v>138</v>
      </c>
      <c r="B91" s="15" t="s">
        <v>86</v>
      </c>
      <c r="C91" s="1" t="s">
        <v>87</v>
      </c>
      <c r="H91" s="1" t="s">
        <v>139</v>
      </c>
      <c r="I91" s="35" t="s">
        <v>140</v>
      </c>
      <c r="J91" s="1">
        <v>4</v>
      </c>
      <c r="K91" s="2" t="s">
        <v>83</v>
      </c>
      <c r="L91" s="1">
        <v>1</v>
      </c>
      <c r="M91" s="1" t="s">
        <v>90</v>
      </c>
      <c r="N91" s="1" t="s">
        <v>90</v>
      </c>
      <c r="O91" s="16">
        <v>46097</v>
      </c>
      <c r="P91" s="16">
        <v>47192</v>
      </c>
      <c r="Q91" s="17">
        <v>36.5</v>
      </c>
      <c r="R91" s="1">
        <f t="shared" si="4"/>
        <v>7</v>
      </c>
      <c r="S91" s="1">
        <v>7</v>
      </c>
      <c r="T91" s="31">
        <v>10083882.034</v>
      </c>
      <c r="U91" s="31">
        <v>11697303.16</v>
      </c>
      <c r="V91" s="31">
        <v>10083882.034</v>
      </c>
      <c r="W91" s="31">
        <v>11697303.16</v>
      </c>
      <c r="X91" s="1">
        <v>7</v>
      </c>
      <c r="Y91" s="1">
        <v>7</v>
      </c>
    </row>
    <row r="92" spans="1:27" x14ac:dyDescent="0.25">
      <c r="A92" s="5" t="s">
        <v>138</v>
      </c>
      <c r="B92" s="15" t="s">
        <v>86</v>
      </c>
      <c r="C92" s="1" t="s">
        <v>87</v>
      </c>
      <c r="H92" s="1" t="s">
        <v>139</v>
      </c>
      <c r="I92" s="35" t="s">
        <v>140</v>
      </c>
      <c r="J92" s="1">
        <v>4</v>
      </c>
      <c r="K92" s="2" t="s">
        <v>82</v>
      </c>
      <c r="L92" s="1">
        <v>1</v>
      </c>
      <c r="M92" s="1" t="s">
        <v>90</v>
      </c>
      <c r="N92" s="1" t="s">
        <v>90</v>
      </c>
      <c r="O92" s="16">
        <v>46097</v>
      </c>
      <c r="P92" s="16">
        <v>47192</v>
      </c>
      <c r="Q92" s="17">
        <v>36.5</v>
      </c>
      <c r="R92" s="1">
        <f t="shared" si="4"/>
        <v>15</v>
      </c>
      <c r="S92" s="1">
        <v>15</v>
      </c>
      <c r="T92" s="31">
        <v>10083882.034</v>
      </c>
      <c r="U92" s="31">
        <v>11697303.16</v>
      </c>
      <c r="V92" s="31">
        <v>10083882.034</v>
      </c>
      <c r="W92" s="31">
        <v>11697303.16</v>
      </c>
      <c r="X92" s="1">
        <v>15</v>
      </c>
      <c r="Y92" s="1">
        <v>15</v>
      </c>
    </row>
    <row r="93" spans="1:27" x14ac:dyDescent="0.25">
      <c r="A93" s="5" t="s">
        <v>138</v>
      </c>
      <c r="B93" s="15" t="s">
        <v>86</v>
      </c>
      <c r="C93" s="1" t="s">
        <v>87</v>
      </c>
      <c r="H93" s="1" t="s">
        <v>139</v>
      </c>
      <c r="I93" s="35" t="s">
        <v>140</v>
      </c>
      <c r="J93" s="1">
        <v>4</v>
      </c>
      <c r="K93" s="2" t="s">
        <v>84</v>
      </c>
      <c r="L93" s="1">
        <v>1</v>
      </c>
      <c r="M93" s="1" t="s">
        <v>90</v>
      </c>
      <c r="N93" s="1" t="s">
        <v>90</v>
      </c>
      <c r="O93" s="16">
        <v>46097</v>
      </c>
      <c r="P93" s="16">
        <v>47192</v>
      </c>
      <c r="Q93" s="17">
        <v>36.5</v>
      </c>
      <c r="R93" s="1">
        <f t="shared" si="4"/>
        <v>5</v>
      </c>
      <c r="S93" s="1">
        <v>5</v>
      </c>
      <c r="T93" s="31">
        <v>10083882.034</v>
      </c>
      <c r="U93" s="31">
        <v>11697303.16</v>
      </c>
      <c r="V93" s="31">
        <v>10083882.034</v>
      </c>
      <c r="W93" s="31">
        <v>11697303.16</v>
      </c>
      <c r="X93" s="1">
        <v>5</v>
      </c>
      <c r="Y93" s="1">
        <v>5</v>
      </c>
    </row>
    <row r="94" spans="1:27" x14ac:dyDescent="0.25">
      <c r="A94" s="5" t="s">
        <v>138</v>
      </c>
      <c r="B94" s="15" t="s">
        <v>86</v>
      </c>
      <c r="C94" s="1" t="s">
        <v>87</v>
      </c>
      <c r="H94" s="1" t="s">
        <v>139</v>
      </c>
      <c r="I94" s="35" t="s">
        <v>140</v>
      </c>
      <c r="J94" s="1">
        <v>4</v>
      </c>
      <c r="K94" s="2" t="s">
        <v>80</v>
      </c>
      <c r="L94" s="1">
        <v>1</v>
      </c>
      <c r="M94" s="1" t="s">
        <v>90</v>
      </c>
      <c r="N94" s="1" t="s">
        <v>90</v>
      </c>
      <c r="O94" s="16">
        <v>46097</v>
      </c>
      <c r="P94" s="16">
        <v>47192</v>
      </c>
      <c r="Q94" s="17">
        <v>36.5</v>
      </c>
      <c r="R94" s="1">
        <f t="shared" si="4"/>
        <v>11</v>
      </c>
      <c r="S94" s="1">
        <v>11</v>
      </c>
      <c r="T94" s="31">
        <v>10083882.034</v>
      </c>
      <c r="U94" s="31">
        <v>11697303.16</v>
      </c>
      <c r="V94" s="31">
        <v>10083882.034</v>
      </c>
      <c r="W94" s="31">
        <v>11697303.16</v>
      </c>
      <c r="X94" s="1">
        <v>11</v>
      </c>
      <c r="Y94" s="1">
        <v>11</v>
      </c>
    </row>
    <row r="95" spans="1:27" x14ac:dyDescent="0.25">
      <c r="A95" s="1" t="s">
        <v>141</v>
      </c>
      <c r="B95" s="15" t="s">
        <v>52</v>
      </c>
      <c r="C95" s="1"/>
      <c r="H95" s="1" t="s">
        <v>142</v>
      </c>
      <c r="I95" s="35" t="s">
        <v>143</v>
      </c>
      <c r="J95" s="1">
        <v>1</v>
      </c>
      <c r="K95" s="23" t="s">
        <v>47</v>
      </c>
      <c r="L95" s="1">
        <v>107</v>
      </c>
      <c r="M95" s="1" t="s">
        <v>55</v>
      </c>
      <c r="N95" s="1" t="s">
        <v>55</v>
      </c>
      <c r="O95" s="16">
        <v>45809</v>
      </c>
      <c r="P95" s="16">
        <v>47118</v>
      </c>
      <c r="Q95" s="17">
        <v>43.633333333333333</v>
      </c>
      <c r="R95" s="1">
        <v>1496</v>
      </c>
      <c r="S95" s="1">
        <v>3654</v>
      </c>
      <c r="T95" s="6">
        <v>725878943.52999997</v>
      </c>
      <c r="U95" s="18">
        <v>842019574.49479997</v>
      </c>
      <c r="V95" s="6">
        <v>1814697358.8399999</v>
      </c>
      <c r="W95" s="18">
        <v>2105048936.2543998</v>
      </c>
      <c r="X95" s="1" t="s">
        <v>144</v>
      </c>
      <c r="AA95" s="6">
        <v>13160</v>
      </c>
    </row>
    <row r="96" spans="1:27" x14ac:dyDescent="0.25">
      <c r="A96" s="1" t="s">
        <v>145</v>
      </c>
      <c r="B96" s="15" t="s">
        <v>52</v>
      </c>
      <c r="C96" s="1"/>
      <c r="H96" s="1" t="s">
        <v>142</v>
      </c>
      <c r="I96" s="35" t="s">
        <v>143</v>
      </c>
      <c r="J96" s="1">
        <v>2</v>
      </c>
      <c r="K96" s="23" t="s">
        <v>56</v>
      </c>
      <c r="L96" s="1">
        <v>4</v>
      </c>
      <c r="M96" s="1" t="s">
        <v>55</v>
      </c>
      <c r="N96" s="1" t="s">
        <v>55</v>
      </c>
      <c r="O96" s="16">
        <v>45809</v>
      </c>
      <c r="P96" s="16">
        <v>47118</v>
      </c>
      <c r="Q96" s="17">
        <v>43.633333333333333</v>
      </c>
      <c r="R96" s="1">
        <v>103</v>
      </c>
      <c r="S96" s="1">
        <v>254</v>
      </c>
      <c r="T96" s="6">
        <v>49382935.509999998</v>
      </c>
      <c r="U96" s="18">
        <v>57284205.191599995</v>
      </c>
      <c r="V96" s="6">
        <v>123457338.77</v>
      </c>
      <c r="W96" s="18">
        <v>143210512.97319999</v>
      </c>
      <c r="AA96" s="6">
        <v>13160</v>
      </c>
    </row>
    <row r="97" spans="1:27" x14ac:dyDescent="0.25">
      <c r="A97" s="1" t="s">
        <v>146</v>
      </c>
      <c r="B97" s="15" t="s">
        <v>52</v>
      </c>
      <c r="C97" s="1"/>
      <c r="H97" s="1" t="s">
        <v>142</v>
      </c>
      <c r="I97" s="35" t="s">
        <v>143</v>
      </c>
      <c r="J97" s="1">
        <v>3</v>
      </c>
      <c r="K97" s="23" t="s">
        <v>72</v>
      </c>
      <c r="L97" s="1">
        <v>1</v>
      </c>
      <c r="M97" s="1" t="s">
        <v>55</v>
      </c>
      <c r="N97" s="1" t="s">
        <v>55</v>
      </c>
      <c r="O97" s="16">
        <v>45809</v>
      </c>
      <c r="P97" s="16">
        <v>47118</v>
      </c>
      <c r="Q97" s="17">
        <v>43.633333333333333</v>
      </c>
      <c r="R97" s="1">
        <v>2</v>
      </c>
      <c r="S97" s="1">
        <v>4</v>
      </c>
      <c r="T97" s="6">
        <v>777684.02</v>
      </c>
      <c r="U97" s="18">
        <v>902113.4632</v>
      </c>
      <c r="V97" s="6">
        <v>1944210.06</v>
      </c>
      <c r="W97" s="18">
        <v>2255283.6696000001</v>
      </c>
      <c r="AA97" s="6">
        <v>18255</v>
      </c>
    </row>
    <row r="98" spans="1:27" x14ac:dyDescent="0.25">
      <c r="A98" s="1" t="s">
        <v>147</v>
      </c>
      <c r="B98" s="15" t="s">
        <v>52</v>
      </c>
      <c r="C98" s="1"/>
      <c r="H98" s="1" t="s">
        <v>142</v>
      </c>
      <c r="I98" s="35" t="s">
        <v>143</v>
      </c>
      <c r="J98" s="1">
        <v>4</v>
      </c>
      <c r="K98" s="23" t="s">
        <v>72</v>
      </c>
      <c r="L98" s="1">
        <v>1</v>
      </c>
      <c r="M98" s="1" t="s">
        <v>55</v>
      </c>
      <c r="N98" s="1" t="s">
        <v>55</v>
      </c>
      <c r="O98" s="16">
        <v>45809</v>
      </c>
      <c r="P98" s="16">
        <v>47118</v>
      </c>
      <c r="Q98" s="17">
        <v>43.633333333333333</v>
      </c>
      <c r="R98" s="1">
        <v>1</v>
      </c>
      <c r="S98" s="1">
        <v>2</v>
      </c>
      <c r="T98" s="6">
        <v>388842.01</v>
      </c>
      <c r="U98" s="18">
        <v>451056.7316</v>
      </c>
      <c r="V98" s="6">
        <v>972105.02</v>
      </c>
      <c r="W98" s="18">
        <v>1127641.8232</v>
      </c>
      <c r="AA98" s="6">
        <v>19358</v>
      </c>
    </row>
    <row r="99" spans="1:27" x14ac:dyDescent="0.25">
      <c r="A99" s="1" t="s">
        <v>148</v>
      </c>
      <c r="B99" s="15" t="s">
        <v>52</v>
      </c>
      <c r="C99" s="1"/>
      <c r="H99" s="1" t="s">
        <v>142</v>
      </c>
      <c r="I99" s="35" t="s">
        <v>143</v>
      </c>
      <c r="J99" s="1">
        <v>5</v>
      </c>
      <c r="K99" s="23" t="s">
        <v>73</v>
      </c>
      <c r="L99" s="1">
        <v>1</v>
      </c>
      <c r="M99" s="1" t="s">
        <v>55</v>
      </c>
      <c r="N99" s="1" t="s">
        <v>55</v>
      </c>
      <c r="O99" s="16">
        <v>45809</v>
      </c>
      <c r="P99" s="16">
        <v>47118</v>
      </c>
      <c r="Q99" s="17">
        <v>43.633333333333333</v>
      </c>
      <c r="R99" s="1">
        <v>6</v>
      </c>
      <c r="S99" s="1">
        <v>14</v>
      </c>
      <c r="T99" s="6">
        <v>2721894.09</v>
      </c>
      <c r="U99" s="18">
        <v>3157397.1443999996</v>
      </c>
      <c r="V99" s="6">
        <v>6804735.2000000002</v>
      </c>
      <c r="W99" s="18">
        <v>7893492.8320000004</v>
      </c>
      <c r="AA99" s="6">
        <v>15591</v>
      </c>
    </row>
    <row r="100" spans="1:27" x14ac:dyDescent="0.25">
      <c r="A100" s="1" t="s">
        <v>149</v>
      </c>
      <c r="B100" s="15" t="s">
        <v>52</v>
      </c>
      <c r="C100" s="1"/>
      <c r="H100" s="1" t="s">
        <v>142</v>
      </c>
      <c r="I100" s="35" t="s">
        <v>143</v>
      </c>
      <c r="J100" s="1">
        <v>6</v>
      </c>
      <c r="K100" s="23" t="s">
        <v>83</v>
      </c>
      <c r="L100" s="1">
        <v>1</v>
      </c>
      <c r="M100" s="1" t="s">
        <v>55</v>
      </c>
      <c r="N100" s="1" t="s">
        <v>55</v>
      </c>
      <c r="O100" s="16">
        <v>45809</v>
      </c>
      <c r="P100" s="16">
        <v>47118</v>
      </c>
      <c r="Q100" s="17">
        <v>43.633333333333333</v>
      </c>
      <c r="R100" s="1">
        <v>2</v>
      </c>
      <c r="S100" s="1">
        <v>4</v>
      </c>
      <c r="T100" s="6">
        <v>777684.02</v>
      </c>
      <c r="U100" s="18">
        <v>902113.4632</v>
      </c>
      <c r="V100" s="6">
        <v>1944210.06</v>
      </c>
      <c r="W100" s="18">
        <v>2255283.6696000001</v>
      </c>
      <c r="AA100" s="6">
        <v>15352</v>
      </c>
    </row>
    <row r="101" spans="1:27" x14ac:dyDescent="0.25">
      <c r="A101" s="1" t="s">
        <v>150</v>
      </c>
      <c r="B101" s="15" t="s">
        <v>52</v>
      </c>
      <c r="C101" s="1"/>
      <c r="H101" s="1" t="s">
        <v>142</v>
      </c>
      <c r="I101" s="35" t="s">
        <v>143</v>
      </c>
      <c r="J101" s="1">
        <v>7</v>
      </c>
      <c r="K101" s="23" t="s">
        <v>81</v>
      </c>
      <c r="L101" s="1">
        <v>1</v>
      </c>
      <c r="M101" s="1" t="s">
        <v>55</v>
      </c>
      <c r="N101" s="1" t="s">
        <v>55</v>
      </c>
      <c r="O101" s="16">
        <v>45809</v>
      </c>
      <c r="P101" s="16">
        <v>47118</v>
      </c>
      <c r="Q101" s="17">
        <v>43.633333333333333</v>
      </c>
      <c r="R101" s="1">
        <v>16</v>
      </c>
      <c r="S101" s="1">
        <v>40</v>
      </c>
      <c r="T101" s="6">
        <v>4082841.12</v>
      </c>
      <c r="U101" s="18">
        <v>4736095.6992000006</v>
      </c>
      <c r="V101" s="6">
        <v>10207102.82</v>
      </c>
      <c r="W101" s="18">
        <v>11840239.271200001</v>
      </c>
      <c r="AA101" s="6">
        <v>14674</v>
      </c>
    </row>
    <row r="102" spans="1:27" x14ac:dyDescent="0.25">
      <c r="A102" s="1" t="s">
        <v>151</v>
      </c>
      <c r="B102" s="15" t="s">
        <v>52</v>
      </c>
      <c r="C102" s="1"/>
      <c r="H102" s="1" t="s">
        <v>142</v>
      </c>
      <c r="I102" s="35" t="s">
        <v>143</v>
      </c>
      <c r="J102" s="1">
        <v>8</v>
      </c>
      <c r="K102" s="23" t="s">
        <v>75</v>
      </c>
      <c r="L102" s="1">
        <v>1</v>
      </c>
      <c r="M102" s="1" t="s">
        <v>55</v>
      </c>
      <c r="N102" s="1" t="s">
        <v>55</v>
      </c>
      <c r="O102" s="16">
        <v>45809</v>
      </c>
      <c r="P102" s="16">
        <v>47118</v>
      </c>
      <c r="Q102" s="17">
        <v>43.633333333333333</v>
      </c>
      <c r="R102" s="1">
        <v>2</v>
      </c>
      <c r="S102" s="1">
        <v>4</v>
      </c>
      <c r="T102" s="6">
        <v>777684.02</v>
      </c>
      <c r="U102" s="18">
        <v>902113.4632</v>
      </c>
      <c r="V102" s="6">
        <v>1944210.06</v>
      </c>
      <c r="W102" s="18">
        <v>2255283.6696000001</v>
      </c>
      <c r="AA102" s="6">
        <v>18862</v>
      </c>
    </row>
    <row r="103" spans="1:27" x14ac:dyDescent="0.25">
      <c r="A103" s="1" t="s">
        <v>152</v>
      </c>
      <c r="B103" s="15" t="s">
        <v>52</v>
      </c>
      <c r="C103" s="1"/>
      <c r="H103" s="1" t="s">
        <v>142</v>
      </c>
      <c r="I103" s="35" t="s">
        <v>143</v>
      </c>
      <c r="J103" s="1">
        <v>9</v>
      </c>
      <c r="K103" s="23" t="s">
        <v>75</v>
      </c>
      <c r="L103" s="1">
        <v>1</v>
      </c>
      <c r="M103" s="1" t="s">
        <v>55</v>
      </c>
      <c r="N103" s="1" t="s">
        <v>55</v>
      </c>
      <c r="O103" s="16">
        <v>45809</v>
      </c>
      <c r="P103" s="16">
        <v>47118</v>
      </c>
      <c r="Q103" s="17">
        <v>43.633333333333333</v>
      </c>
      <c r="R103" s="1">
        <v>1</v>
      </c>
      <c r="S103" s="1">
        <v>2</v>
      </c>
      <c r="T103" s="6">
        <v>388842.01</v>
      </c>
      <c r="U103" s="18">
        <v>451056.7316</v>
      </c>
      <c r="V103" s="6">
        <v>972105.02</v>
      </c>
      <c r="W103" s="18">
        <v>1127641.8232</v>
      </c>
      <c r="AA103" s="6">
        <v>18862</v>
      </c>
    </row>
    <row r="104" spans="1:27" x14ac:dyDescent="0.25">
      <c r="A104" s="1" t="s">
        <v>153</v>
      </c>
      <c r="B104" s="15" t="s">
        <v>52</v>
      </c>
      <c r="C104" s="1"/>
      <c r="H104" s="1" t="s">
        <v>142</v>
      </c>
      <c r="I104" s="35" t="s">
        <v>143</v>
      </c>
      <c r="J104" s="1">
        <v>10</v>
      </c>
      <c r="K104" s="23" t="s">
        <v>76</v>
      </c>
      <c r="L104" s="1">
        <v>1</v>
      </c>
      <c r="M104" s="1" t="s">
        <v>55</v>
      </c>
      <c r="N104" s="1" t="s">
        <v>55</v>
      </c>
      <c r="O104" s="16">
        <v>45809</v>
      </c>
      <c r="P104" s="16">
        <v>47118</v>
      </c>
      <c r="Q104" s="17">
        <v>43.633333333333333</v>
      </c>
      <c r="R104" s="1">
        <v>1</v>
      </c>
      <c r="S104" s="1">
        <v>2</v>
      </c>
      <c r="T104" s="6">
        <v>388842.01</v>
      </c>
      <c r="U104" s="18">
        <v>451056.7316</v>
      </c>
      <c r="V104" s="6">
        <v>972105.02</v>
      </c>
      <c r="W104" s="18">
        <v>1127641.8232</v>
      </c>
      <c r="AA104" s="6">
        <v>14977</v>
      </c>
    </row>
    <row r="105" spans="1:27" x14ac:dyDescent="0.25">
      <c r="A105" s="1" t="s">
        <v>154</v>
      </c>
      <c r="B105" s="15" t="s">
        <v>52</v>
      </c>
      <c r="C105" s="1"/>
      <c r="H105" s="1" t="s">
        <v>142</v>
      </c>
      <c r="I105" s="35" t="s">
        <v>143</v>
      </c>
      <c r="J105" s="1">
        <v>11</v>
      </c>
      <c r="K105" s="23" t="s">
        <v>76</v>
      </c>
      <c r="L105" s="1">
        <v>1</v>
      </c>
      <c r="M105" s="1" t="s">
        <v>55</v>
      </c>
      <c r="N105" s="1" t="s">
        <v>55</v>
      </c>
      <c r="O105" s="16">
        <v>45809</v>
      </c>
      <c r="P105" s="16">
        <v>47118</v>
      </c>
      <c r="Q105" s="17">
        <v>43.633333333333333</v>
      </c>
      <c r="R105" s="1">
        <v>3</v>
      </c>
      <c r="S105" s="1">
        <v>6</v>
      </c>
      <c r="T105" s="6">
        <v>1166526.04</v>
      </c>
      <c r="U105" s="18">
        <v>1353170.2064</v>
      </c>
      <c r="V105" s="6">
        <v>2916315.08</v>
      </c>
      <c r="W105" s="18">
        <v>3382925.4928000001</v>
      </c>
      <c r="AA105" s="6">
        <v>14977</v>
      </c>
    </row>
    <row r="106" spans="1:27" x14ac:dyDescent="0.25">
      <c r="A106" s="1" t="s">
        <v>155</v>
      </c>
      <c r="B106" s="15" t="s">
        <v>52</v>
      </c>
      <c r="C106" s="1"/>
      <c r="H106" s="1" t="s">
        <v>142</v>
      </c>
      <c r="I106" s="35" t="s">
        <v>143</v>
      </c>
      <c r="J106" s="1">
        <v>12</v>
      </c>
      <c r="K106" s="23" t="s">
        <v>62</v>
      </c>
      <c r="L106" s="1">
        <v>1</v>
      </c>
      <c r="M106" s="1" t="s">
        <v>55</v>
      </c>
      <c r="N106" s="1" t="s">
        <v>55</v>
      </c>
      <c r="O106" s="16">
        <v>45809</v>
      </c>
      <c r="P106" s="16">
        <v>47118</v>
      </c>
      <c r="Q106" s="17">
        <v>43.633333333333333</v>
      </c>
      <c r="R106" s="1">
        <v>14</v>
      </c>
      <c r="S106" s="1">
        <v>33</v>
      </c>
      <c r="T106" s="6">
        <v>6415893.1900000004</v>
      </c>
      <c r="U106" s="18">
        <v>7442436.1004000008</v>
      </c>
      <c r="V106" s="6">
        <v>16039733</v>
      </c>
      <c r="W106" s="18">
        <v>18606090.280000001</v>
      </c>
      <c r="AA106" s="6">
        <v>13893</v>
      </c>
    </row>
    <row r="107" spans="1:27" x14ac:dyDescent="0.25">
      <c r="A107" s="1" t="s">
        <v>156</v>
      </c>
      <c r="B107" s="15" t="s">
        <v>52</v>
      </c>
      <c r="C107" s="1"/>
      <c r="H107" s="1" t="s">
        <v>142</v>
      </c>
      <c r="I107" s="35" t="s">
        <v>143</v>
      </c>
      <c r="J107" s="1">
        <v>13</v>
      </c>
      <c r="K107" s="23" t="s">
        <v>62</v>
      </c>
      <c r="L107" s="1">
        <v>1</v>
      </c>
      <c r="M107" s="1" t="s">
        <v>55</v>
      </c>
      <c r="N107" s="1" t="s">
        <v>55</v>
      </c>
      <c r="O107" s="16">
        <v>45809</v>
      </c>
      <c r="P107" s="16">
        <v>47118</v>
      </c>
      <c r="Q107" s="17">
        <v>43.633333333333333</v>
      </c>
      <c r="R107" s="1">
        <v>29</v>
      </c>
      <c r="S107" s="1">
        <v>72</v>
      </c>
      <c r="T107" s="6">
        <v>13998312.42</v>
      </c>
      <c r="U107" s="18">
        <v>16238042.407199999</v>
      </c>
      <c r="V107" s="6">
        <v>34995781.060000002</v>
      </c>
      <c r="W107" s="18">
        <v>40595106.029600002</v>
      </c>
      <c r="AA107" s="6">
        <v>13893</v>
      </c>
    </row>
    <row r="108" spans="1:27" x14ac:dyDescent="0.25">
      <c r="A108" s="1" t="s">
        <v>157</v>
      </c>
      <c r="B108" s="15" t="s">
        <v>52</v>
      </c>
      <c r="C108" s="1"/>
      <c r="H108" s="1" t="s">
        <v>142</v>
      </c>
      <c r="I108" s="35" t="s">
        <v>143</v>
      </c>
      <c r="J108" s="1">
        <v>14</v>
      </c>
      <c r="K108" s="23" t="s">
        <v>57</v>
      </c>
      <c r="L108" s="1">
        <v>1</v>
      </c>
      <c r="M108" s="1" t="s">
        <v>55</v>
      </c>
      <c r="N108" s="1" t="s">
        <v>55</v>
      </c>
      <c r="O108" s="16">
        <v>45809</v>
      </c>
      <c r="P108" s="16">
        <v>47118</v>
      </c>
      <c r="Q108" s="17">
        <v>43.633333333333333</v>
      </c>
      <c r="R108" s="1">
        <v>20</v>
      </c>
      <c r="S108" s="1">
        <v>48</v>
      </c>
      <c r="T108" s="6">
        <v>6999156.2199999997</v>
      </c>
      <c r="U108" s="18">
        <v>8119021.2151999995</v>
      </c>
      <c r="V108" s="6">
        <v>17497890.530000001</v>
      </c>
      <c r="W108" s="18">
        <v>20297553.014800001</v>
      </c>
      <c r="AA108" s="6">
        <v>13678</v>
      </c>
    </row>
    <row r="109" spans="1:27" x14ac:dyDescent="0.25">
      <c r="A109" s="1" t="s">
        <v>158</v>
      </c>
      <c r="B109" s="15" t="s">
        <v>52</v>
      </c>
      <c r="C109" s="1"/>
      <c r="H109" s="1" t="s">
        <v>142</v>
      </c>
      <c r="I109" s="35" t="s">
        <v>143</v>
      </c>
      <c r="J109" s="1">
        <v>15</v>
      </c>
      <c r="K109" s="23" t="s">
        <v>57</v>
      </c>
      <c r="L109" s="1">
        <v>1</v>
      </c>
      <c r="M109" s="1" t="s">
        <v>55</v>
      </c>
      <c r="N109" s="1" t="s">
        <v>55</v>
      </c>
      <c r="O109" s="16">
        <v>45809</v>
      </c>
      <c r="P109" s="16">
        <v>47118</v>
      </c>
      <c r="Q109" s="17">
        <v>43.633333333333333</v>
      </c>
      <c r="R109" s="1">
        <v>10</v>
      </c>
      <c r="S109" s="1">
        <v>25</v>
      </c>
      <c r="T109" s="6">
        <v>2721894.09</v>
      </c>
      <c r="U109" s="18">
        <v>3157397.1443999996</v>
      </c>
      <c r="V109" s="6">
        <v>6804735.2000000002</v>
      </c>
      <c r="W109" s="18">
        <v>7893492.8320000004</v>
      </c>
      <c r="AA109" s="6">
        <v>13678</v>
      </c>
    </row>
    <row r="110" spans="1:27" x14ac:dyDescent="0.25">
      <c r="A110" s="1" t="s">
        <v>159</v>
      </c>
      <c r="B110" s="15" t="s">
        <v>52</v>
      </c>
      <c r="C110" s="1"/>
      <c r="H110" s="1" t="s">
        <v>142</v>
      </c>
      <c r="I110" s="35" t="s">
        <v>143</v>
      </c>
      <c r="J110" s="1">
        <v>16</v>
      </c>
      <c r="K110" s="23" t="s">
        <v>63</v>
      </c>
      <c r="L110" s="1">
        <v>1</v>
      </c>
      <c r="M110" s="1" t="s">
        <v>55</v>
      </c>
      <c r="N110" s="1" t="s">
        <v>55</v>
      </c>
      <c r="O110" s="16">
        <v>45809</v>
      </c>
      <c r="P110" s="16">
        <v>47118</v>
      </c>
      <c r="Q110" s="17">
        <v>43.633333333333333</v>
      </c>
      <c r="R110" s="1">
        <v>1</v>
      </c>
      <c r="S110" s="1">
        <v>2</v>
      </c>
      <c r="T110" s="6">
        <v>388842.01</v>
      </c>
      <c r="U110" s="18">
        <v>451056.7316</v>
      </c>
      <c r="V110" s="6">
        <v>972105.02</v>
      </c>
      <c r="W110" s="18">
        <v>1127641.8232</v>
      </c>
      <c r="AA110" s="6">
        <v>13917</v>
      </c>
    </row>
    <row r="111" spans="1:27" x14ac:dyDescent="0.25">
      <c r="A111" s="1" t="s">
        <v>160</v>
      </c>
      <c r="B111" s="15" t="s">
        <v>52</v>
      </c>
      <c r="C111" s="1"/>
      <c r="H111" s="1" t="s">
        <v>142</v>
      </c>
      <c r="I111" s="35" t="s">
        <v>143</v>
      </c>
      <c r="J111" s="1">
        <v>17</v>
      </c>
      <c r="K111" s="23" t="s">
        <v>63</v>
      </c>
      <c r="L111" s="1">
        <v>1</v>
      </c>
      <c r="M111" s="1" t="s">
        <v>55</v>
      </c>
      <c r="N111" s="1" t="s">
        <v>55</v>
      </c>
      <c r="O111" s="16">
        <v>45809</v>
      </c>
      <c r="P111" s="16">
        <v>47118</v>
      </c>
      <c r="Q111" s="17">
        <v>43.633333333333333</v>
      </c>
      <c r="R111" s="1">
        <v>2</v>
      </c>
      <c r="S111" s="1">
        <v>3</v>
      </c>
      <c r="T111" s="6">
        <v>583263</v>
      </c>
      <c r="U111" s="18">
        <v>676585.08</v>
      </c>
      <c r="V111" s="6">
        <v>1458157.55</v>
      </c>
      <c r="W111" s="18">
        <v>1691462.7580000001</v>
      </c>
      <c r="AA111" s="6">
        <v>13635</v>
      </c>
    </row>
    <row r="112" spans="1:27" x14ac:dyDescent="0.25">
      <c r="A112" s="1" t="s">
        <v>161</v>
      </c>
      <c r="B112" s="15" t="s">
        <v>52</v>
      </c>
      <c r="C112" s="1"/>
      <c r="H112" s="1" t="s">
        <v>142</v>
      </c>
      <c r="I112" s="35" t="s">
        <v>143</v>
      </c>
      <c r="J112" s="1">
        <v>18</v>
      </c>
      <c r="K112" s="23" t="s">
        <v>58</v>
      </c>
      <c r="L112" s="1">
        <v>1</v>
      </c>
      <c r="M112" s="1" t="s">
        <v>55</v>
      </c>
      <c r="N112" s="1" t="s">
        <v>55</v>
      </c>
      <c r="O112" s="16">
        <v>45809</v>
      </c>
      <c r="P112" s="16">
        <v>47118</v>
      </c>
      <c r="Q112" s="17">
        <v>43.633333333333333</v>
      </c>
      <c r="R112" s="1">
        <v>5</v>
      </c>
      <c r="S112" s="1">
        <v>11</v>
      </c>
      <c r="T112" s="6">
        <v>2138631.0499999998</v>
      </c>
      <c r="U112" s="18">
        <v>2480812.0179999997</v>
      </c>
      <c r="V112" s="6">
        <v>5346577.68</v>
      </c>
      <c r="W112" s="18">
        <v>6202030.1087999996</v>
      </c>
      <c r="AA112" s="6">
        <v>14236</v>
      </c>
    </row>
    <row r="113" spans="1:27" x14ac:dyDescent="0.25">
      <c r="A113" s="1" t="s">
        <v>162</v>
      </c>
      <c r="B113" s="15" t="s">
        <v>52</v>
      </c>
      <c r="C113" s="1"/>
      <c r="H113" s="1" t="s">
        <v>142</v>
      </c>
      <c r="I113" s="35" t="s">
        <v>143</v>
      </c>
      <c r="J113" s="1">
        <v>19</v>
      </c>
      <c r="K113" s="23" t="s">
        <v>58</v>
      </c>
      <c r="L113" s="1">
        <v>1</v>
      </c>
      <c r="M113" s="1" t="s">
        <v>55</v>
      </c>
      <c r="N113" s="1" t="s">
        <v>55</v>
      </c>
      <c r="O113" s="16">
        <v>45809</v>
      </c>
      <c r="P113" s="16">
        <v>47118</v>
      </c>
      <c r="Q113" s="17">
        <v>43.633333333333333</v>
      </c>
      <c r="R113" s="1">
        <v>4</v>
      </c>
      <c r="S113" s="1">
        <v>10</v>
      </c>
      <c r="T113" s="6">
        <v>1944210.08</v>
      </c>
      <c r="U113" s="18">
        <v>2255283.6928000003</v>
      </c>
      <c r="V113" s="6">
        <v>4860525.1399999997</v>
      </c>
      <c r="W113" s="18">
        <v>5638209.1623999998</v>
      </c>
      <c r="AA113" s="6">
        <v>13964</v>
      </c>
    </row>
    <row r="114" spans="1:27" x14ac:dyDescent="0.25">
      <c r="A114" s="1" t="s">
        <v>163</v>
      </c>
      <c r="B114" s="15" t="s">
        <v>52</v>
      </c>
      <c r="C114" s="1"/>
      <c r="H114" s="1" t="s">
        <v>142</v>
      </c>
      <c r="I114" s="35" t="s">
        <v>143</v>
      </c>
      <c r="J114" s="1">
        <v>20</v>
      </c>
      <c r="K114" s="23" t="s">
        <v>79</v>
      </c>
      <c r="L114" s="1">
        <v>1</v>
      </c>
      <c r="M114" s="1" t="s">
        <v>55</v>
      </c>
      <c r="N114" s="1" t="s">
        <v>55</v>
      </c>
      <c r="O114" s="16">
        <v>45809</v>
      </c>
      <c r="P114" s="16">
        <v>47118</v>
      </c>
      <c r="Q114" s="17">
        <v>43.633333333333333</v>
      </c>
      <c r="R114" s="1">
        <v>1</v>
      </c>
      <c r="S114" s="1">
        <v>2</v>
      </c>
      <c r="T114" s="6">
        <v>388842.01</v>
      </c>
      <c r="U114" s="18">
        <v>451056.7316</v>
      </c>
      <c r="V114" s="6">
        <v>972105.02</v>
      </c>
      <c r="W114" s="18">
        <v>1127641.8232</v>
      </c>
      <c r="AA114" s="6">
        <v>14010</v>
      </c>
    </row>
    <row r="115" spans="1:27" x14ac:dyDescent="0.25">
      <c r="A115" s="1" t="s">
        <v>164</v>
      </c>
      <c r="B115" s="15" t="s">
        <v>52</v>
      </c>
      <c r="C115" s="1"/>
      <c r="H115" s="1" t="s">
        <v>142</v>
      </c>
      <c r="I115" s="35" t="s">
        <v>143</v>
      </c>
      <c r="J115" s="1">
        <v>21</v>
      </c>
      <c r="K115" s="23" t="s">
        <v>79</v>
      </c>
      <c r="L115" s="1">
        <v>1</v>
      </c>
      <c r="M115" s="1" t="s">
        <v>55</v>
      </c>
      <c r="N115" s="1" t="s">
        <v>55</v>
      </c>
      <c r="O115" s="16">
        <v>45809</v>
      </c>
      <c r="P115" s="16">
        <v>47118</v>
      </c>
      <c r="Q115" s="17">
        <v>43.633333333333333</v>
      </c>
      <c r="R115" s="1">
        <v>4</v>
      </c>
      <c r="S115" s="1">
        <v>10</v>
      </c>
      <c r="T115" s="6">
        <v>1944210.06</v>
      </c>
      <c r="U115" s="18">
        <v>2255283.6696000001</v>
      </c>
      <c r="V115" s="6">
        <v>4860525.1399999997</v>
      </c>
      <c r="W115" s="18">
        <v>5638209.1623999998</v>
      </c>
      <c r="AA115" s="6">
        <v>14010</v>
      </c>
    </row>
    <row r="116" spans="1:27" x14ac:dyDescent="0.25">
      <c r="A116" s="1" t="s">
        <v>165</v>
      </c>
      <c r="B116" s="15" t="s">
        <v>52</v>
      </c>
      <c r="C116" s="1"/>
      <c r="H116" s="1" t="s">
        <v>142</v>
      </c>
      <c r="I116" s="35" t="s">
        <v>143</v>
      </c>
      <c r="J116" s="1">
        <v>22</v>
      </c>
      <c r="K116" s="23" t="s">
        <v>50</v>
      </c>
      <c r="L116" s="1">
        <v>1</v>
      </c>
      <c r="M116" s="1" t="s">
        <v>55</v>
      </c>
      <c r="N116" s="1" t="s">
        <v>55</v>
      </c>
      <c r="O116" s="16">
        <v>45809</v>
      </c>
      <c r="P116" s="16">
        <v>47118</v>
      </c>
      <c r="Q116" s="17">
        <v>43.633333333333333</v>
      </c>
      <c r="R116" s="1">
        <v>4</v>
      </c>
      <c r="S116" s="1">
        <v>9</v>
      </c>
      <c r="T116" s="6">
        <v>1749789.04</v>
      </c>
      <c r="U116" s="18">
        <v>2029755.2864000001</v>
      </c>
      <c r="V116" s="6">
        <v>4374472.63</v>
      </c>
      <c r="W116" s="18">
        <v>5074388.2507999996</v>
      </c>
      <c r="AA116" s="6">
        <v>14462</v>
      </c>
    </row>
    <row r="117" spans="1:27" x14ac:dyDescent="0.25">
      <c r="A117" s="1" t="s">
        <v>166</v>
      </c>
      <c r="B117" s="15" t="s">
        <v>52</v>
      </c>
      <c r="C117" s="1"/>
      <c r="H117" s="1" t="s">
        <v>142</v>
      </c>
      <c r="I117" s="35" t="s">
        <v>143</v>
      </c>
      <c r="J117" s="1">
        <v>23</v>
      </c>
      <c r="K117" s="23" t="s">
        <v>82</v>
      </c>
      <c r="L117" s="1">
        <v>1</v>
      </c>
      <c r="M117" s="1" t="s">
        <v>55</v>
      </c>
      <c r="N117" s="1" t="s">
        <v>55</v>
      </c>
      <c r="O117" s="16">
        <v>45809</v>
      </c>
      <c r="P117" s="16">
        <v>47118</v>
      </c>
      <c r="Q117" s="17">
        <v>43.633333333333333</v>
      </c>
      <c r="R117" s="1">
        <v>1</v>
      </c>
      <c r="S117" s="1">
        <v>2</v>
      </c>
      <c r="T117" s="6">
        <v>388842.01</v>
      </c>
      <c r="U117" s="18">
        <v>451056.7316</v>
      </c>
      <c r="V117" s="6">
        <v>972105.02</v>
      </c>
      <c r="W117" s="18">
        <v>1127641.8232</v>
      </c>
      <c r="AA117" s="6">
        <v>15510</v>
      </c>
    </row>
    <row r="118" spans="1:27" x14ac:dyDescent="0.25">
      <c r="A118" s="1" t="s">
        <v>167</v>
      </c>
      <c r="B118" s="15" t="s">
        <v>52</v>
      </c>
      <c r="C118" s="1"/>
      <c r="H118" s="1" t="s">
        <v>142</v>
      </c>
      <c r="I118" s="35" t="s">
        <v>143</v>
      </c>
      <c r="J118" s="1">
        <v>24</v>
      </c>
      <c r="K118" s="23" t="s">
        <v>74</v>
      </c>
      <c r="L118" s="1">
        <v>1</v>
      </c>
      <c r="M118" s="1" t="s">
        <v>55</v>
      </c>
      <c r="N118" s="1" t="s">
        <v>55</v>
      </c>
      <c r="O118" s="16">
        <v>45809</v>
      </c>
      <c r="P118" s="16">
        <v>47118</v>
      </c>
      <c r="Q118" s="17">
        <v>43.633333333333333</v>
      </c>
      <c r="R118" s="1">
        <v>1</v>
      </c>
      <c r="S118" s="1">
        <v>2</v>
      </c>
      <c r="T118" s="6">
        <v>388842.01</v>
      </c>
      <c r="U118" s="18">
        <v>451056.7316</v>
      </c>
      <c r="V118" s="6">
        <v>972105.02</v>
      </c>
      <c r="W118" s="18">
        <v>1127641.8232</v>
      </c>
      <c r="AA118" s="6">
        <v>14742</v>
      </c>
    </row>
    <row r="119" spans="1:27" x14ac:dyDescent="0.25">
      <c r="A119" s="1" t="s">
        <v>168</v>
      </c>
      <c r="B119" s="15" t="s">
        <v>52</v>
      </c>
      <c r="C119" s="1"/>
      <c r="H119" s="1" t="s">
        <v>142</v>
      </c>
      <c r="I119" s="35" t="s">
        <v>143</v>
      </c>
      <c r="J119" s="1">
        <v>25</v>
      </c>
      <c r="K119" s="23" t="s">
        <v>74</v>
      </c>
      <c r="L119" s="1">
        <v>1</v>
      </c>
      <c r="M119" s="1" t="s">
        <v>55</v>
      </c>
      <c r="N119" s="1" t="s">
        <v>55</v>
      </c>
      <c r="O119" s="16">
        <v>45809</v>
      </c>
      <c r="P119" s="16">
        <v>47118</v>
      </c>
      <c r="Q119" s="17">
        <v>43.633333333333333</v>
      </c>
      <c r="R119" s="1">
        <v>2</v>
      </c>
      <c r="S119" s="1">
        <v>3</v>
      </c>
      <c r="T119" s="6">
        <v>583263</v>
      </c>
      <c r="U119" s="18">
        <f>(T119*0.16)+T119</f>
        <v>676585.08</v>
      </c>
      <c r="V119" s="6">
        <v>1458157.55</v>
      </c>
      <c r="W119" s="18">
        <v>1691462.7580000001</v>
      </c>
      <c r="AA119" s="6">
        <v>14742</v>
      </c>
    </row>
    <row r="120" spans="1:27" x14ac:dyDescent="0.25">
      <c r="A120" s="1" t="s">
        <v>169</v>
      </c>
      <c r="B120" s="15" t="s">
        <v>52</v>
      </c>
      <c r="C120" s="1"/>
      <c r="H120" s="1" t="s">
        <v>142</v>
      </c>
      <c r="I120" s="35" t="s">
        <v>143</v>
      </c>
      <c r="J120" s="1">
        <v>26</v>
      </c>
      <c r="K120" s="23" t="s">
        <v>74</v>
      </c>
      <c r="L120" s="1">
        <v>1</v>
      </c>
      <c r="M120" s="1" t="s">
        <v>55</v>
      </c>
      <c r="N120" s="1" t="s">
        <v>55</v>
      </c>
      <c r="O120" s="16">
        <v>45809</v>
      </c>
      <c r="P120" s="16">
        <v>47118</v>
      </c>
      <c r="Q120" s="17">
        <v>43.633333333333333</v>
      </c>
      <c r="R120" s="1">
        <v>1</v>
      </c>
      <c r="S120" s="1">
        <v>2</v>
      </c>
      <c r="T120" s="6">
        <v>380842.01</v>
      </c>
      <c r="U120" s="18">
        <f>(T120*0.16)+T120</f>
        <v>441776.7316</v>
      </c>
      <c r="V120" s="6">
        <v>972105.02</v>
      </c>
      <c r="W120" s="18">
        <v>1127641.8232</v>
      </c>
      <c r="AA120" s="6">
        <v>14182</v>
      </c>
    </row>
    <row r="121" spans="1:27" x14ac:dyDescent="0.25">
      <c r="A121" s="1" t="s">
        <v>170</v>
      </c>
      <c r="B121" s="15" t="s">
        <v>52</v>
      </c>
      <c r="C121" s="1"/>
      <c r="H121" s="1" t="s">
        <v>142</v>
      </c>
      <c r="I121" s="35" t="s">
        <v>143</v>
      </c>
      <c r="J121" s="1">
        <v>27</v>
      </c>
      <c r="K121" s="23" t="s">
        <v>74</v>
      </c>
      <c r="L121" s="1">
        <v>1</v>
      </c>
      <c r="M121" s="1" t="s">
        <v>55</v>
      </c>
      <c r="N121" s="1" t="s">
        <v>55</v>
      </c>
      <c r="O121" s="16">
        <v>45809</v>
      </c>
      <c r="P121" s="16">
        <v>47118</v>
      </c>
      <c r="Q121" s="17">
        <v>43.633333333333333</v>
      </c>
      <c r="R121" s="1">
        <v>4</v>
      </c>
      <c r="S121" s="1">
        <v>10</v>
      </c>
      <c r="T121" s="6">
        <v>1085140.5</v>
      </c>
      <c r="U121" s="18">
        <v>1258762.98</v>
      </c>
      <c r="V121" s="6">
        <v>3888420.12</v>
      </c>
      <c r="W121" s="18">
        <v>4510567.3392000003</v>
      </c>
      <c r="AA121" s="6">
        <v>14742</v>
      </c>
    </row>
    <row r="122" spans="1:27" x14ac:dyDescent="0.25">
      <c r="A122" s="1" t="s">
        <v>171</v>
      </c>
      <c r="B122" s="15" t="s">
        <v>52</v>
      </c>
      <c r="C122" s="1"/>
      <c r="H122" s="1" t="s">
        <v>142</v>
      </c>
      <c r="I122" s="35" t="s">
        <v>143</v>
      </c>
      <c r="J122" s="1">
        <v>28</v>
      </c>
      <c r="K122" s="23" t="s">
        <v>71</v>
      </c>
      <c r="L122" s="1">
        <v>1</v>
      </c>
      <c r="M122" s="1" t="s">
        <v>55</v>
      </c>
      <c r="N122" s="1" t="s">
        <v>55</v>
      </c>
      <c r="O122" s="16">
        <v>45809</v>
      </c>
      <c r="P122" s="16">
        <v>47118</v>
      </c>
      <c r="Q122" s="17">
        <v>43.633333333333333</v>
      </c>
      <c r="R122" s="1">
        <v>1</v>
      </c>
      <c r="S122" s="1">
        <v>2</v>
      </c>
      <c r="T122" s="6">
        <v>583263</v>
      </c>
      <c r="U122" s="18">
        <v>676585.08</v>
      </c>
      <c r="V122" s="6">
        <v>1458157.55</v>
      </c>
      <c r="W122" s="18">
        <v>1691462.7580000001</v>
      </c>
      <c r="AA122" s="6">
        <v>14914</v>
      </c>
    </row>
    <row r="123" spans="1:27" x14ac:dyDescent="0.25">
      <c r="A123" s="1" t="s">
        <v>172</v>
      </c>
      <c r="B123" s="15" t="s">
        <v>52</v>
      </c>
      <c r="C123" s="1"/>
      <c r="H123" s="1" t="s">
        <v>142</v>
      </c>
      <c r="I123" s="35" t="s">
        <v>143</v>
      </c>
      <c r="J123" s="1">
        <v>29</v>
      </c>
      <c r="K123" s="23" t="s">
        <v>84</v>
      </c>
      <c r="L123" s="1">
        <v>1</v>
      </c>
      <c r="M123" s="1" t="s">
        <v>55</v>
      </c>
      <c r="N123" s="1" t="s">
        <v>55</v>
      </c>
      <c r="O123" s="16">
        <v>45809</v>
      </c>
      <c r="P123" s="16">
        <v>47118</v>
      </c>
      <c r="Q123" s="17">
        <v>43.633333333333333</v>
      </c>
      <c r="R123" s="1">
        <v>1</v>
      </c>
      <c r="S123" s="1">
        <v>2</v>
      </c>
      <c r="T123" s="6">
        <v>388842.01</v>
      </c>
      <c r="U123" s="18">
        <v>451056.7316</v>
      </c>
      <c r="V123" s="6">
        <v>972105.02</v>
      </c>
      <c r="W123" s="18">
        <v>1127641.8232</v>
      </c>
      <c r="AA123" s="6">
        <v>14433</v>
      </c>
    </row>
    <row r="124" spans="1:27" x14ac:dyDescent="0.25">
      <c r="A124" s="1" t="s">
        <v>173</v>
      </c>
      <c r="B124" s="15" t="s">
        <v>52</v>
      </c>
      <c r="C124" s="1"/>
      <c r="H124" s="1" t="s">
        <v>142</v>
      </c>
      <c r="I124" s="35" t="s">
        <v>143</v>
      </c>
      <c r="J124" s="1">
        <v>30</v>
      </c>
      <c r="K124" s="23" t="s">
        <v>66</v>
      </c>
      <c r="L124" s="1">
        <v>1</v>
      </c>
      <c r="M124" s="1" t="s">
        <v>55</v>
      </c>
      <c r="N124" s="1" t="s">
        <v>55</v>
      </c>
      <c r="O124" s="16">
        <v>45809</v>
      </c>
      <c r="P124" s="16">
        <v>47118</v>
      </c>
      <c r="Q124" s="17">
        <v>43.633333333333333</v>
      </c>
      <c r="R124" s="1">
        <v>3</v>
      </c>
      <c r="S124" s="1">
        <v>6</v>
      </c>
      <c r="T124" s="6">
        <v>1166526.04</v>
      </c>
      <c r="U124" s="18">
        <v>1353170.2064</v>
      </c>
      <c r="V124" s="6">
        <v>2916315.08</v>
      </c>
      <c r="W124" s="18">
        <v>3382925.4928000001</v>
      </c>
      <c r="AA124" s="6">
        <v>19478</v>
      </c>
    </row>
    <row r="125" spans="1:27" x14ac:dyDescent="0.25">
      <c r="A125" s="1" t="s">
        <v>174</v>
      </c>
      <c r="B125" s="15" t="s">
        <v>52</v>
      </c>
      <c r="C125" s="1"/>
      <c r="H125" s="1" t="s">
        <v>142</v>
      </c>
      <c r="I125" s="35" t="s">
        <v>143</v>
      </c>
      <c r="J125" s="1">
        <v>31</v>
      </c>
      <c r="K125" s="23" t="s">
        <v>66</v>
      </c>
      <c r="L125" s="1">
        <v>1</v>
      </c>
      <c r="M125" s="1" t="s">
        <v>55</v>
      </c>
      <c r="N125" s="1" t="s">
        <v>55</v>
      </c>
      <c r="O125" s="16">
        <v>45809</v>
      </c>
      <c r="P125" s="16">
        <v>47118</v>
      </c>
      <c r="Q125" s="17">
        <v>43.633333333333333</v>
      </c>
      <c r="R125" s="1">
        <v>3</v>
      </c>
      <c r="S125" s="1">
        <v>6</v>
      </c>
      <c r="T125" s="6">
        <v>972105.02</v>
      </c>
      <c r="U125" s="18">
        <v>1127641.8232</v>
      </c>
      <c r="V125" s="6">
        <v>2430262.5699999998</v>
      </c>
      <c r="W125" s="18">
        <v>2819104.5811999999</v>
      </c>
      <c r="AA125" s="6">
        <v>14914</v>
      </c>
    </row>
    <row r="126" spans="1:27" x14ac:dyDescent="0.25">
      <c r="A126" s="1" t="s">
        <v>175</v>
      </c>
      <c r="B126" s="15" t="s">
        <v>52</v>
      </c>
      <c r="C126" s="1"/>
      <c r="H126" s="1" t="s">
        <v>142</v>
      </c>
      <c r="I126" s="35" t="s">
        <v>143</v>
      </c>
      <c r="J126" s="1">
        <v>32</v>
      </c>
      <c r="K126" s="23" t="s">
        <v>66</v>
      </c>
      <c r="L126" s="1">
        <v>1</v>
      </c>
      <c r="M126" s="1" t="s">
        <v>55</v>
      </c>
      <c r="N126" s="1" t="s">
        <v>55</v>
      </c>
      <c r="O126" s="16">
        <v>45809</v>
      </c>
      <c r="P126" s="16">
        <v>47118</v>
      </c>
      <c r="Q126" s="17">
        <v>43.633333333333333</v>
      </c>
      <c r="R126" s="1">
        <v>2</v>
      </c>
      <c r="S126" s="1">
        <v>4</v>
      </c>
      <c r="T126" s="6">
        <v>388842.01</v>
      </c>
      <c r="U126" s="18">
        <v>451056.7316</v>
      </c>
      <c r="V126" s="6">
        <v>972105.02</v>
      </c>
      <c r="W126" s="18">
        <v>1127641.8232</v>
      </c>
      <c r="AA126" s="6">
        <v>14914</v>
      </c>
    </row>
    <row r="127" spans="1:27" x14ac:dyDescent="0.25">
      <c r="A127" s="1" t="s">
        <v>176</v>
      </c>
      <c r="B127" s="15" t="s">
        <v>52</v>
      </c>
      <c r="C127" s="1"/>
      <c r="H127" s="1" t="s">
        <v>142</v>
      </c>
      <c r="I127" s="35" t="s">
        <v>143</v>
      </c>
      <c r="J127" s="1">
        <v>33</v>
      </c>
      <c r="K127" s="23" t="s">
        <v>59</v>
      </c>
      <c r="L127" s="1">
        <v>1</v>
      </c>
      <c r="M127" s="1" t="s">
        <v>55</v>
      </c>
      <c r="N127" s="1" t="s">
        <v>55</v>
      </c>
      <c r="O127" s="16">
        <v>45809</v>
      </c>
      <c r="P127" s="16">
        <v>47118</v>
      </c>
      <c r="Q127" s="17">
        <v>43.633333333333333</v>
      </c>
      <c r="R127" s="1">
        <v>2</v>
      </c>
      <c r="S127" s="1">
        <v>3</v>
      </c>
      <c r="T127" s="6">
        <v>777684.02</v>
      </c>
      <c r="U127" s="18">
        <v>902113.4632</v>
      </c>
      <c r="V127" s="6">
        <v>1944210.06</v>
      </c>
      <c r="W127" s="18">
        <v>2255283.6696000001</v>
      </c>
      <c r="AA127" s="6">
        <v>14448</v>
      </c>
    </row>
    <row r="128" spans="1:27" x14ac:dyDescent="0.25">
      <c r="A128" s="1" t="s">
        <v>177</v>
      </c>
      <c r="B128" s="15" t="s">
        <v>52</v>
      </c>
      <c r="C128" s="1"/>
      <c r="H128" s="1" t="s">
        <v>142</v>
      </c>
      <c r="I128" s="35" t="s">
        <v>143</v>
      </c>
      <c r="J128" s="1">
        <v>34</v>
      </c>
      <c r="K128" s="23" t="s">
        <v>59</v>
      </c>
      <c r="L128" s="1">
        <v>1</v>
      </c>
      <c r="M128" s="1" t="s">
        <v>55</v>
      </c>
      <c r="N128" s="1" t="s">
        <v>55</v>
      </c>
      <c r="O128" s="16">
        <v>45809</v>
      </c>
      <c r="P128" s="16">
        <v>47118</v>
      </c>
      <c r="Q128" s="17">
        <v>43.633333333333333</v>
      </c>
      <c r="R128" s="1">
        <v>1</v>
      </c>
      <c r="S128" s="1">
        <v>2</v>
      </c>
      <c r="T128" s="6">
        <v>388842.01</v>
      </c>
      <c r="U128" s="18">
        <v>451056.7316</v>
      </c>
      <c r="V128" s="6">
        <v>972105.02</v>
      </c>
      <c r="W128" s="18">
        <v>1127641.8232</v>
      </c>
      <c r="AA128" s="6">
        <v>14448</v>
      </c>
    </row>
    <row r="129" spans="1:27" x14ac:dyDescent="0.25">
      <c r="A129" s="1" t="s">
        <v>178</v>
      </c>
      <c r="B129" s="15" t="s">
        <v>52</v>
      </c>
      <c r="C129" s="1"/>
      <c r="H129" s="1" t="s">
        <v>142</v>
      </c>
      <c r="I129" s="35" t="s">
        <v>143</v>
      </c>
      <c r="J129" s="1">
        <v>35</v>
      </c>
      <c r="K129" s="23" t="s">
        <v>59</v>
      </c>
      <c r="L129" s="1">
        <v>1</v>
      </c>
      <c r="M129" s="1" t="s">
        <v>55</v>
      </c>
      <c r="N129" s="1" t="s">
        <v>55</v>
      </c>
      <c r="O129" s="16">
        <v>45809</v>
      </c>
      <c r="P129" s="16">
        <v>47118</v>
      </c>
      <c r="Q129" s="17">
        <v>43.633333333333333</v>
      </c>
      <c r="R129" s="1">
        <v>5</v>
      </c>
      <c r="S129" s="1">
        <v>12</v>
      </c>
      <c r="T129" s="6">
        <v>2333052.0699999998</v>
      </c>
      <c r="U129" s="18">
        <v>2706340.4011999997</v>
      </c>
      <c r="V129" s="6">
        <v>5832630.1900000004</v>
      </c>
      <c r="W129" s="18">
        <v>6765851.0204000007</v>
      </c>
      <c r="AA129" s="6">
        <v>14448</v>
      </c>
    </row>
    <row r="130" spans="1:27" x14ac:dyDescent="0.25">
      <c r="A130" s="1" t="s">
        <v>179</v>
      </c>
      <c r="B130" s="15" t="s">
        <v>52</v>
      </c>
      <c r="C130" s="1"/>
      <c r="H130" s="1" t="s">
        <v>142</v>
      </c>
      <c r="I130" s="35" t="s">
        <v>143</v>
      </c>
      <c r="J130" s="1">
        <v>36</v>
      </c>
      <c r="K130" s="23" t="s">
        <v>59</v>
      </c>
      <c r="L130" s="1">
        <v>1</v>
      </c>
      <c r="M130" s="1" t="s">
        <v>55</v>
      </c>
      <c r="N130" s="1" t="s">
        <v>55</v>
      </c>
      <c r="O130" s="16">
        <v>45809</v>
      </c>
      <c r="P130" s="16">
        <v>47118</v>
      </c>
      <c r="Q130" s="17">
        <v>43.633333333333333</v>
      </c>
      <c r="R130" s="1">
        <v>8</v>
      </c>
      <c r="S130" s="1">
        <v>18</v>
      </c>
      <c r="T130" s="6">
        <v>3499578.11</v>
      </c>
      <c r="U130" s="18">
        <v>4059510.6075999998</v>
      </c>
      <c r="V130" s="6">
        <v>8748945.2599999998</v>
      </c>
      <c r="W130" s="18">
        <v>10148776.501599999</v>
      </c>
      <c r="AA130" s="6">
        <v>14448</v>
      </c>
    </row>
    <row r="131" spans="1:27" x14ac:dyDescent="0.25">
      <c r="A131" s="1" t="s">
        <v>180</v>
      </c>
      <c r="B131" s="15" t="s">
        <v>52</v>
      </c>
      <c r="C131" s="1"/>
      <c r="H131" s="1" t="s">
        <v>142</v>
      </c>
      <c r="I131" s="35" t="s">
        <v>143</v>
      </c>
      <c r="J131" s="1">
        <v>37</v>
      </c>
      <c r="K131" s="23" t="s">
        <v>77</v>
      </c>
      <c r="L131" s="1">
        <v>1</v>
      </c>
      <c r="M131" s="1" t="s">
        <v>55</v>
      </c>
      <c r="N131" s="1" t="s">
        <v>55</v>
      </c>
      <c r="O131" s="16">
        <v>45809</v>
      </c>
      <c r="P131" s="16">
        <v>47118</v>
      </c>
      <c r="Q131" s="17">
        <v>43.633333333333333</v>
      </c>
      <c r="R131" s="1">
        <v>8</v>
      </c>
      <c r="S131" s="1">
        <v>20</v>
      </c>
      <c r="T131" s="6">
        <v>3888420.12</v>
      </c>
      <c r="U131" s="18">
        <v>4510567.3392000003</v>
      </c>
      <c r="V131" s="6">
        <v>9721050.3100000005</v>
      </c>
      <c r="W131" s="18">
        <v>11276418.3596</v>
      </c>
      <c r="AA131" s="6">
        <v>13445</v>
      </c>
    </row>
    <row r="132" spans="1:27" x14ac:dyDescent="0.25">
      <c r="A132" s="1" t="s">
        <v>181</v>
      </c>
      <c r="B132" s="15" t="s">
        <v>52</v>
      </c>
      <c r="C132" s="1"/>
      <c r="H132" s="1" t="s">
        <v>142</v>
      </c>
      <c r="I132" s="35" t="s">
        <v>143</v>
      </c>
      <c r="J132" s="1">
        <v>38</v>
      </c>
      <c r="K132" s="23" t="s">
        <v>69</v>
      </c>
      <c r="L132" s="1">
        <v>1</v>
      </c>
      <c r="M132" s="1" t="s">
        <v>55</v>
      </c>
      <c r="N132" s="1" t="s">
        <v>55</v>
      </c>
      <c r="O132" s="16">
        <v>45809</v>
      </c>
      <c r="P132" s="16">
        <v>47118</v>
      </c>
      <c r="Q132" s="17">
        <v>43.633333333333333</v>
      </c>
      <c r="R132" s="1">
        <v>2</v>
      </c>
      <c r="S132" s="1">
        <v>5</v>
      </c>
      <c r="T132" s="6">
        <v>972105.02</v>
      </c>
      <c r="U132" s="18">
        <v>1127641.8232</v>
      </c>
      <c r="V132" s="6">
        <v>2430262.5699999998</v>
      </c>
      <c r="W132" s="18">
        <v>2819104.5811999999</v>
      </c>
      <c r="AA132" s="6">
        <v>14109</v>
      </c>
    </row>
    <row r="133" spans="1:27" x14ac:dyDescent="0.25">
      <c r="A133" s="1" t="s">
        <v>182</v>
      </c>
      <c r="B133" s="15" t="s">
        <v>52</v>
      </c>
      <c r="C133" s="1"/>
      <c r="H133" s="1" t="s">
        <v>142</v>
      </c>
      <c r="I133" s="35" t="s">
        <v>143</v>
      </c>
      <c r="J133" s="1">
        <v>39</v>
      </c>
      <c r="K133" s="23" t="s">
        <v>69</v>
      </c>
      <c r="L133" s="1">
        <v>1</v>
      </c>
      <c r="M133" s="1" t="s">
        <v>55</v>
      </c>
      <c r="N133" s="1" t="s">
        <v>55</v>
      </c>
      <c r="O133" s="16">
        <v>45809</v>
      </c>
      <c r="P133" s="16">
        <v>47118</v>
      </c>
      <c r="Q133" s="17">
        <v>43.633333333333333</v>
      </c>
      <c r="R133" s="1">
        <v>6</v>
      </c>
      <c r="S133" s="1">
        <v>14</v>
      </c>
      <c r="T133" s="6">
        <v>2721849.09</v>
      </c>
      <c r="U133" s="18">
        <v>3157344.9443999999</v>
      </c>
      <c r="V133" s="6">
        <v>6804735.2000000002</v>
      </c>
      <c r="W133" s="18">
        <v>7893492.8320000004</v>
      </c>
      <c r="AA133" s="6">
        <v>14109</v>
      </c>
    </row>
    <row r="134" spans="1:27" x14ac:dyDescent="0.25">
      <c r="A134" s="1" t="s">
        <v>183</v>
      </c>
      <c r="B134" s="15" t="s">
        <v>52</v>
      </c>
      <c r="C134" s="1"/>
      <c r="H134" s="1" t="s">
        <v>142</v>
      </c>
      <c r="I134" s="35" t="s">
        <v>143</v>
      </c>
      <c r="J134" s="1">
        <v>40</v>
      </c>
      <c r="K134" s="23" t="s">
        <v>78</v>
      </c>
      <c r="L134" s="1">
        <v>1</v>
      </c>
      <c r="M134" s="1" t="s">
        <v>55</v>
      </c>
      <c r="N134" s="1" t="s">
        <v>55</v>
      </c>
      <c r="O134" s="16">
        <v>45809</v>
      </c>
      <c r="P134" s="16">
        <v>47118</v>
      </c>
      <c r="Q134" s="17">
        <v>43.633333333333333</v>
      </c>
      <c r="R134" s="1">
        <v>14</v>
      </c>
      <c r="S134" s="1">
        <v>35</v>
      </c>
      <c r="T134" s="6">
        <v>6804735.2000000002</v>
      </c>
      <c r="U134" s="18">
        <v>7893492.8320000004</v>
      </c>
      <c r="V134" s="6">
        <v>17011838.02</v>
      </c>
      <c r="W134" s="18">
        <v>19733732.1032</v>
      </c>
      <c r="AA134" s="6">
        <v>13301</v>
      </c>
    </row>
    <row r="135" spans="1:27" x14ac:dyDescent="0.25">
      <c r="A135" s="1" t="s">
        <v>184</v>
      </c>
      <c r="B135" s="15" t="s">
        <v>52</v>
      </c>
      <c r="C135" s="1"/>
      <c r="H135" s="1" t="s">
        <v>142</v>
      </c>
      <c r="I135" s="35" t="s">
        <v>143</v>
      </c>
      <c r="J135" s="1">
        <v>41</v>
      </c>
      <c r="K135" s="23" t="s">
        <v>78</v>
      </c>
      <c r="L135" s="1">
        <v>1</v>
      </c>
      <c r="M135" s="1" t="s">
        <v>55</v>
      </c>
      <c r="N135" s="1" t="s">
        <v>55</v>
      </c>
      <c r="O135" s="16">
        <v>45809</v>
      </c>
      <c r="P135" s="16">
        <v>47118</v>
      </c>
      <c r="Q135" s="17">
        <v>43.633333333333333</v>
      </c>
      <c r="R135" s="1">
        <v>20</v>
      </c>
      <c r="S135" s="1">
        <v>50</v>
      </c>
      <c r="T135" s="6">
        <v>9721050.3100000005</v>
      </c>
      <c r="U135" s="18">
        <v>11276418.3596</v>
      </c>
      <c r="V135" s="6">
        <v>24302625.73</v>
      </c>
      <c r="W135" s="18">
        <v>28191045.846799999</v>
      </c>
      <c r="AA135" s="6">
        <v>13301</v>
      </c>
    </row>
    <row r="136" spans="1:27" x14ac:dyDescent="0.25">
      <c r="A136" s="1" t="s">
        <v>185</v>
      </c>
      <c r="B136" s="15" t="s">
        <v>52</v>
      </c>
      <c r="C136" s="1"/>
      <c r="H136" s="1" t="s">
        <v>142</v>
      </c>
      <c r="I136" s="35" t="s">
        <v>143</v>
      </c>
      <c r="J136" s="1">
        <v>42</v>
      </c>
      <c r="K136" s="23" t="s">
        <v>78</v>
      </c>
      <c r="L136" s="1">
        <v>1</v>
      </c>
      <c r="M136" s="1" t="s">
        <v>55</v>
      </c>
      <c r="N136" s="1" t="s">
        <v>55</v>
      </c>
      <c r="O136" s="16">
        <v>45809</v>
      </c>
      <c r="P136" s="16">
        <v>47118</v>
      </c>
      <c r="Q136" s="17">
        <v>43.633333333333333</v>
      </c>
      <c r="R136" s="1">
        <v>20</v>
      </c>
      <c r="S136" s="1">
        <v>50</v>
      </c>
      <c r="T136" s="6">
        <v>9721050.3100000005</v>
      </c>
      <c r="U136" s="18">
        <v>11276418.3596</v>
      </c>
      <c r="V136" s="6">
        <v>24302625.73</v>
      </c>
      <c r="W136" s="18">
        <v>28191045.846799999</v>
      </c>
      <c r="AA136" s="6">
        <v>13301</v>
      </c>
    </row>
    <row r="137" spans="1:27" x14ac:dyDescent="0.25">
      <c r="A137" s="30" t="s">
        <v>186</v>
      </c>
      <c r="B137" s="15" t="s">
        <v>122</v>
      </c>
      <c r="H137" s="1" t="s">
        <v>187</v>
      </c>
      <c r="I137" s="35" t="s">
        <v>188</v>
      </c>
      <c r="J137" s="1" t="s">
        <v>125</v>
      </c>
      <c r="K137" s="2" t="s">
        <v>56</v>
      </c>
      <c r="L137" s="1">
        <v>224</v>
      </c>
      <c r="M137" s="1" t="s">
        <v>126</v>
      </c>
      <c r="N137" s="1" t="s">
        <v>126</v>
      </c>
      <c r="O137" s="16">
        <v>46069</v>
      </c>
      <c r="P137" s="16">
        <v>46172</v>
      </c>
      <c r="Q137" s="17">
        <f>(P137-O137)/30</f>
        <v>3.4333333333333331</v>
      </c>
      <c r="R137" s="1">
        <v>469</v>
      </c>
      <c r="S137" s="1">
        <v>573</v>
      </c>
      <c r="T137" s="6">
        <f>(U137*100%)/116%</f>
        <v>32396377.155172415</v>
      </c>
      <c r="U137" s="6">
        <v>37579797.5</v>
      </c>
      <c r="V137" s="6">
        <f>(W137*100%)/116%</f>
        <v>39580221.982758626</v>
      </c>
      <c r="W137" s="6">
        <v>45913057.5</v>
      </c>
      <c r="Y137" s="6"/>
      <c r="AA137" s="6">
        <v>18097.150000000001</v>
      </c>
    </row>
    <row r="138" spans="1:27" x14ac:dyDescent="0.25">
      <c r="A138" s="5" t="s">
        <v>189</v>
      </c>
      <c r="B138" s="1" t="s">
        <v>190</v>
      </c>
      <c r="H138" s="1" t="s">
        <v>191</v>
      </c>
      <c r="I138" s="35" t="s">
        <v>192</v>
      </c>
      <c r="J138" s="1">
        <v>1</v>
      </c>
      <c r="K138" s="22" t="s">
        <v>72</v>
      </c>
      <c r="L138" s="1">
        <v>18</v>
      </c>
      <c r="M138" s="1" t="s">
        <v>193</v>
      </c>
      <c r="N138" s="1" t="s">
        <v>194</v>
      </c>
      <c r="O138" s="16">
        <v>46023</v>
      </c>
      <c r="P138" s="16">
        <v>46387</v>
      </c>
      <c r="Q138" s="17">
        <v>12.133333333333333</v>
      </c>
      <c r="R138" s="1">
        <v>64</v>
      </c>
      <c r="S138" s="1">
        <v>160</v>
      </c>
      <c r="T138" s="29">
        <v>26002470</v>
      </c>
      <c r="U138" s="29">
        <v>30162865.199999999</v>
      </c>
      <c r="V138" s="29">
        <v>64987462.5</v>
      </c>
      <c r="W138" s="29">
        <v>75385456.5</v>
      </c>
      <c r="X138" s="6"/>
      <c r="Y138" s="6"/>
      <c r="AA138" s="6">
        <v>25800</v>
      </c>
    </row>
    <row r="139" spans="1:27" x14ac:dyDescent="0.25">
      <c r="A139" s="5" t="s">
        <v>189</v>
      </c>
      <c r="B139" s="15" t="s">
        <v>190</v>
      </c>
      <c r="H139" s="1" t="s">
        <v>191</v>
      </c>
      <c r="I139" s="35" t="s">
        <v>192</v>
      </c>
      <c r="J139" s="1">
        <v>1</v>
      </c>
      <c r="K139" t="s">
        <v>73</v>
      </c>
      <c r="L139" s="1">
        <v>21</v>
      </c>
      <c r="M139" s="1" t="s">
        <v>193</v>
      </c>
      <c r="N139" s="1" t="s">
        <v>194</v>
      </c>
      <c r="O139" s="16">
        <v>46023</v>
      </c>
      <c r="P139" s="16">
        <v>46387</v>
      </c>
      <c r="Q139" s="17">
        <v>12.133333333333333</v>
      </c>
      <c r="R139" s="1">
        <v>76</v>
      </c>
      <c r="S139" s="1">
        <v>190</v>
      </c>
      <c r="T139" s="29">
        <v>26002470</v>
      </c>
      <c r="U139" s="29">
        <v>30162865.199999999</v>
      </c>
      <c r="V139" s="29">
        <v>64987462.5</v>
      </c>
      <c r="W139" s="29">
        <v>75385456.5</v>
      </c>
      <c r="X139" s="6"/>
      <c r="AA139" s="6">
        <v>19520</v>
      </c>
    </row>
    <row r="140" spans="1:27" x14ac:dyDescent="0.25">
      <c r="A140" s="5" t="s">
        <v>189</v>
      </c>
      <c r="B140" s="15" t="s">
        <v>190</v>
      </c>
      <c r="H140" s="1" t="s">
        <v>191</v>
      </c>
      <c r="I140" s="35" t="s">
        <v>192</v>
      </c>
      <c r="J140" s="1">
        <v>1</v>
      </c>
      <c r="K140" t="s">
        <v>71</v>
      </c>
      <c r="L140" s="1">
        <v>37</v>
      </c>
      <c r="M140" s="1" t="s">
        <v>193</v>
      </c>
      <c r="N140" s="1" t="s">
        <v>194</v>
      </c>
      <c r="O140" s="16">
        <v>46023</v>
      </c>
      <c r="P140" s="16">
        <v>46387</v>
      </c>
      <c r="Q140" s="17">
        <v>12.133333333333333</v>
      </c>
      <c r="R140" s="1">
        <v>62</v>
      </c>
      <c r="S140" s="1">
        <v>155</v>
      </c>
      <c r="T140" s="29">
        <v>26002470</v>
      </c>
      <c r="U140" s="29">
        <v>30162865.199999999</v>
      </c>
      <c r="V140" s="29">
        <v>64987462.5</v>
      </c>
      <c r="W140" s="29">
        <v>75385456.5</v>
      </c>
      <c r="X140" s="6"/>
      <c r="Y140" s="6"/>
      <c r="AA140" s="6">
        <v>25800</v>
      </c>
    </row>
    <row r="141" spans="1:27" x14ac:dyDescent="0.25">
      <c r="A141" s="5" t="s">
        <v>189</v>
      </c>
      <c r="B141" s="15" t="s">
        <v>190</v>
      </c>
      <c r="H141" s="1" t="s">
        <v>191</v>
      </c>
      <c r="I141" s="35" t="s">
        <v>192</v>
      </c>
      <c r="J141" s="1">
        <v>1</v>
      </c>
      <c r="K141" s="2" t="s">
        <v>74</v>
      </c>
      <c r="L141" s="1">
        <v>44</v>
      </c>
      <c r="M141" s="1" t="s">
        <v>193</v>
      </c>
      <c r="N141" s="1" t="s">
        <v>194</v>
      </c>
      <c r="O141" s="16">
        <v>46023</v>
      </c>
      <c r="P141" s="16">
        <v>46387</v>
      </c>
      <c r="Q141" s="17">
        <v>12.133333333333333</v>
      </c>
      <c r="R141" s="1">
        <v>62</v>
      </c>
      <c r="S141" s="1">
        <v>155</v>
      </c>
      <c r="T141" s="29">
        <v>26002470</v>
      </c>
      <c r="U141" s="29">
        <v>30162865.199999999</v>
      </c>
      <c r="V141" s="29">
        <v>64987462.5</v>
      </c>
      <c r="W141" s="29">
        <v>75385456.5</v>
      </c>
      <c r="X141" s="6"/>
      <c r="AA141" s="6">
        <v>19520</v>
      </c>
    </row>
    <row r="142" spans="1:27" x14ac:dyDescent="0.25">
      <c r="A142" s="5" t="s">
        <v>189</v>
      </c>
      <c r="B142" s="15" t="s">
        <v>190</v>
      </c>
      <c r="H142" s="1" t="s">
        <v>191</v>
      </c>
      <c r="I142" s="35" t="s">
        <v>192</v>
      </c>
      <c r="J142" s="1">
        <v>1</v>
      </c>
      <c r="K142" s="21" t="s">
        <v>75</v>
      </c>
      <c r="L142" s="1">
        <v>27</v>
      </c>
      <c r="M142" s="1" t="s">
        <v>193</v>
      </c>
      <c r="N142" s="1" t="s">
        <v>194</v>
      </c>
      <c r="O142" s="16">
        <v>46023</v>
      </c>
      <c r="P142" s="16">
        <v>46387</v>
      </c>
      <c r="Q142" s="17">
        <v>12.133333333333333</v>
      </c>
      <c r="R142" s="1">
        <v>86</v>
      </c>
      <c r="S142" s="1">
        <v>215</v>
      </c>
      <c r="T142" s="29">
        <v>26002470</v>
      </c>
      <c r="U142" s="29">
        <v>30162865.199999999</v>
      </c>
      <c r="V142" s="29">
        <v>64987462.5</v>
      </c>
      <c r="W142" s="29">
        <v>75385456.5</v>
      </c>
      <c r="X142" s="6"/>
      <c r="Y142" s="6"/>
      <c r="AA142" s="6">
        <v>25800</v>
      </c>
    </row>
    <row r="143" spans="1:27" x14ac:dyDescent="0.25">
      <c r="A143" s="5" t="s">
        <v>189</v>
      </c>
      <c r="B143" s="15" t="s">
        <v>190</v>
      </c>
      <c r="H143" s="1" t="s">
        <v>191</v>
      </c>
      <c r="I143" s="35" t="s">
        <v>192</v>
      </c>
      <c r="J143" s="1">
        <v>1</v>
      </c>
      <c r="K143" s="21" t="s">
        <v>67</v>
      </c>
      <c r="L143" s="1">
        <v>23</v>
      </c>
      <c r="M143" s="1" t="s">
        <v>193</v>
      </c>
      <c r="N143" s="1" t="s">
        <v>194</v>
      </c>
      <c r="O143" s="16">
        <v>46023</v>
      </c>
      <c r="P143" s="16">
        <v>46387</v>
      </c>
      <c r="Q143" s="17">
        <v>12.133333333333333</v>
      </c>
      <c r="R143" s="1">
        <v>48</v>
      </c>
      <c r="S143" s="1">
        <v>120</v>
      </c>
      <c r="T143" s="29">
        <v>26002470</v>
      </c>
      <c r="U143" s="29">
        <v>30162865.199999999</v>
      </c>
      <c r="V143" s="29">
        <v>64987462.5</v>
      </c>
      <c r="W143" s="29">
        <v>75385456.5</v>
      </c>
      <c r="X143" s="6"/>
      <c r="AA143" s="6">
        <v>25800</v>
      </c>
    </row>
    <row r="144" spans="1:27" x14ac:dyDescent="0.25">
      <c r="A144" s="5" t="s">
        <v>189</v>
      </c>
      <c r="B144" s="15" t="s">
        <v>190</v>
      </c>
      <c r="H144" s="1" t="s">
        <v>191</v>
      </c>
      <c r="I144" s="35" t="s">
        <v>192</v>
      </c>
      <c r="J144" s="1">
        <v>1</v>
      </c>
      <c r="K144" s="2" t="s">
        <v>49</v>
      </c>
      <c r="L144" s="1">
        <v>23</v>
      </c>
      <c r="M144" s="1" t="s">
        <v>193</v>
      </c>
      <c r="N144" s="1" t="s">
        <v>194</v>
      </c>
      <c r="O144" s="16">
        <v>46023</v>
      </c>
      <c r="P144" s="16">
        <v>46387</v>
      </c>
      <c r="Q144" s="17">
        <v>12.133333333333333</v>
      </c>
      <c r="R144" s="1">
        <v>44</v>
      </c>
      <c r="S144" s="1">
        <v>110</v>
      </c>
      <c r="T144" s="29">
        <v>26002470</v>
      </c>
      <c r="U144" s="29">
        <v>30162865.199999999</v>
      </c>
      <c r="V144" s="29">
        <v>64987462.5</v>
      </c>
      <c r="W144" s="29">
        <v>75385456.5</v>
      </c>
      <c r="X144" s="6"/>
      <c r="AA144" s="6">
        <v>25800</v>
      </c>
    </row>
    <row r="145" spans="1:27" x14ac:dyDescent="0.25">
      <c r="A145" s="5" t="s">
        <v>189</v>
      </c>
      <c r="B145" s="15" t="s">
        <v>190</v>
      </c>
      <c r="H145" s="1" t="s">
        <v>191</v>
      </c>
      <c r="I145" s="35" t="s">
        <v>192</v>
      </c>
      <c r="J145" s="1">
        <v>1</v>
      </c>
      <c r="K145" s="21" t="s">
        <v>66</v>
      </c>
      <c r="L145" s="1">
        <v>39</v>
      </c>
      <c r="M145" s="1" t="s">
        <v>193</v>
      </c>
      <c r="N145" s="1" t="s">
        <v>194</v>
      </c>
      <c r="O145" s="16">
        <v>46023</v>
      </c>
      <c r="P145" s="16">
        <v>46387</v>
      </c>
      <c r="Q145" s="17">
        <v>12.133333333333333</v>
      </c>
      <c r="R145" s="1">
        <v>110</v>
      </c>
      <c r="S145" s="1">
        <v>275</v>
      </c>
      <c r="T145" s="29">
        <v>26002470</v>
      </c>
      <c r="U145" s="29">
        <v>30162865.199999999</v>
      </c>
      <c r="V145" s="29">
        <v>64987462.5</v>
      </c>
      <c r="W145" s="29">
        <v>75385456.5</v>
      </c>
      <c r="X145" s="6"/>
      <c r="Y145" s="6"/>
      <c r="AA145" s="6">
        <v>25800</v>
      </c>
    </row>
    <row r="146" spans="1:27" x14ac:dyDescent="0.25">
      <c r="A146" s="5" t="s">
        <v>189</v>
      </c>
      <c r="B146" s="15" t="s">
        <v>190</v>
      </c>
      <c r="H146" s="1" t="s">
        <v>191</v>
      </c>
      <c r="I146" s="35" t="s">
        <v>192</v>
      </c>
      <c r="J146" s="1">
        <v>1</v>
      </c>
      <c r="K146" s="21" t="s">
        <v>76</v>
      </c>
      <c r="L146" s="1">
        <v>31</v>
      </c>
      <c r="M146" s="1" t="s">
        <v>193</v>
      </c>
      <c r="N146" s="1" t="s">
        <v>194</v>
      </c>
      <c r="O146" s="16">
        <v>46023</v>
      </c>
      <c r="P146" s="16">
        <v>46387</v>
      </c>
      <c r="Q146" s="17">
        <v>12.133333333333333</v>
      </c>
      <c r="R146" s="1">
        <v>46</v>
      </c>
      <c r="S146" s="1">
        <v>115</v>
      </c>
      <c r="T146" s="29">
        <v>26002470</v>
      </c>
      <c r="U146" s="29">
        <v>30162865.199999999</v>
      </c>
      <c r="V146" s="29">
        <v>64987462.5</v>
      </c>
      <c r="W146" s="29">
        <v>75385456.5</v>
      </c>
      <c r="X146" s="6"/>
      <c r="AA146" s="6">
        <v>19520</v>
      </c>
    </row>
    <row r="147" spans="1:27" x14ac:dyDescent="0.25">
      <c r="A147" s="5" t="s">
        <v>189</v>
      </c>
      <c r="B147" s="15" t="s">
        <v>190</v>
      </c>
      <c r="H147" s="1" t="s">
        <v>191</v>
      </c>
      <c r="I147" s="35" t="s">
        <v>192</v>
      </c>
      <c r="J147" s="1">
        <v>2</v>
      </c>
      <c r="K147" s="33" t="s">
        <v>70</v>
      </c>
      <c r="L147" s="1">
        <v>16</v>
      </c>
      <c r="M147" s="1" t="s">
        <v>193</v>
      </c>
      <c r="N147" s="1" t="s">
        <v>194</v>
      </c>
      <c r="O147" s="16">
        <v>46023</v>
      </c>
      <c r="P147" s="16">
        <v>46387</v>
      </c>
      <c r="Q147" s="17">
        <v>12.133333333333333</v>
      </c>
      <c r="R147" s="1">
        <v>38</v>
      </c>
      <c r="S147" s="1">
        <v>95</v>
      </c>
      <c r="T147" s="29">
        <v>26002470</v>
      </c>
      <c r="U147" s="29">
        <v>30162865.199999999</v>
      </c>
      <c r="V147" s="29">
        <v>64987462.5</v>
      </c>
      <c r="W147" s="29">
        <v>75385456.5</v>
      </c>
      <c r="X147" s="6"/>
      <c r="Y147" s="6"/>
      <c r="AA147" s="6">
        <v>18960</v>
      </c>
    </row>
    <row r="148" spans="1:27" x14ac:dyDescent="0.25">
      <c r="A148" s="5" t="s">
        <v>189</v>
      </c>
      <c r="B148" s="15" t="s">
        <v>190</v>
      </c>
      <c r="H148" s="1" t="s">
        <v>191</v>
      </c>
      <c r="I148" s="35" t="s">
        <v>192</v>
      </c>
      <c r="J148" s="1">
        <v>2</v>
      </c>
      <c r="K148" s="33" t="s">
        <v>61</v>
      </c>
      <c r="L148" s="1">
        <v>8</v>
      </c>
      <c r="M148" s="1" t="s">
        <v>193</v>
      </c>
      <c r="N148" s="1" t="s">
        <v>194</v>
      </c>
      <c r="O148" s="16">
        <v>46023</v>
      </c>
      <c r="P148" s="16">
        <v>46387</v>
      </c>
      <c r="Q148" s="17">
        <v>12.133333333333333</v>
      </c>
      <c r="R148" s="1">
        <v>28</v>
      </c>
      <c r="S148" s="1">
        <v>70</v>
      </c>
      <c r="T148" s="29">
        <v>26002470</v>
      </c>
      <c r="U148" s="29">
        <v>30162865.199999999</v>
      </c>
      <c r="V148" s="29">
        <v>64987462.5</v>
      </c>
      <c r="W148" s="29">
        <v>75385456.5</v>
      </c>
      <c r="X148" s="6"/>
      <c r="AA148" s="6">
        <v>18960</v>
      </c>
    </row>
    <row r="149" spans="1:27" x14ac:dyDescent="0.25">
      <c r="A149" s="5" t="s">
        <v>189</v>
      </c>
      <c r="B149" s="15" t="s">
        <v>190</v>
      </c>
      <c r="H149" s="1" t="s">
        <v>191</v>
      </c>
      <c r="I149" s="35" t="s">
        <v>192</v>
      </c>
      <c r="J149" s="1">
        <v>2</v>
      </c>
      <c r="K149" s="33" t="s">
        <v>62</v>
      </c>
      <c r="L149" s="1">
        <v>38</v>
      </c>
      <c r="M149" s="1" t="s">
        <v>193</v>
      </c>
      <c r="N149" s="1" t="s">
        <v>194</v>
      </c>
      <c r="O149" s="16">
        <v>46023</v>
      </c>
      <c r="P149" s="16">
        <v>46387</v>
      </c>
      <c r="Q149" s="17">
        <v>12.133333333333333</v>
      </c>
      <c r="R149" s="1">
        <v>64</v>
      </c>
      <c r="S149" s="1">
        <v>160</v>
      </c>
      <c r="T149" s="29">
        <v>26002470</v>
      </c>
      <c r="U149" s="29">
        <v>30162865.199999999</v>
      </c>
      <c r="V149" s="29">
        <v>64987462.5</v>
      </c>
      <c r="W149" s="29">
        <v>75385456.5</v>
      </c>
      <c r="X149" s="6"/>
      <c r="AA149" s="6">
        <v>18960</v>
      </c>
    </row>
    <row r="150" spans="1:27" x14ac:dyDescent="0.25">
      <c r="A150" s="5" t="s">
        <v>189</v>
      </c>
      <c r="B150" s="15" t="s">
        <v>190</v>
      </c>
      <c r="H150" s="1" t="s">
        <v>191</v>
      </c>
      <c r="I150" s="35" t="s">
        <v>192</v>
      </c>
      <c r="J150" s="1">
        <v>2</v>
      </c>
      <c r="K150" s="33" t="s">
        <v>60</v>
      </c>
      <c r="L150" s="1">
        <v>36</v>
      </c>
      <c r="M150" s="1" t="s">
        <v>193</v>
      </c>
      <c r="N150" s="1" t="s">
        <v>194</v>
      </c>
      <c r="O150" s="16">
        <v>46023</v>
      </c>
      <c r="P150" s="16">
        <v>46387</v>
      </c>
      <c r="Q150" s="17">
        <v>12.133333333333333</v>
      </c>
      <c r="R150" s="1">
        <v>44</v>
      </c>
      <c r="S150" s="1">
        <v>110</v>
      </c>
      <c r="T150" s="29">
        <v>26002470</v>
      </c>
      <c r="U150" s="29">
        <v>30162865.199999999</v>
      </c>
      <c r="V150" s="29">
        <v>64987462.5</v>
      </c>
      <c r="W150" s="29">
        <v>75385456.5</v>
      </c>
      <c r="X150" s="6"/>
      <c r="AA150" s="6">
        <v>18960</v>
      </c>
    </row>
    <row r="151" spans="1:27" x14ac:dyDescent="0.25">
      <c r="A151" s="5" t="s">
        <v>189</v>
      </c>
      <c r="B151" s="15" t="s">
        <v>190</v>
      </c>
      <c r="H151" s="1" t="s">
        <v>191</v>
      </c>
      <c r="I151" s="35" t="s">
        <v>192</v>
      </c>
      <c r="J151" s="1">
        <v>2</v>
      </c>
      <c r="K151" s="2" t="s">
        <v>63</v>
      </c>
      <c r="L151" s="1">
        <v>30</v>
      </c>
      <c r="M151" s="1" t="s">
        <v>193</v>
      </c>
      <c r="N151" s="1" t="s">
        <v>194</v>
      </c>
      <c r="O151" s="16">
        <v>46023</v>
      </c>
      <c r="P151" s="16">
        <v>46387</v>
      </c>
      <c r="Q151" s="17">
        <v>12.133333333333333</v>
      </c>
      <c r="R151" s="1">
        <v>94</v>
      </c>
      <c r="S151" s="1">
        <v>235</v>
      </c>
      <c r="T151" s="29">
        <v>26002470</v>
      </c>
      <c r="U151" s="29">
        <v>30162865.199999999</v>
      </c>
      <c r="V151" s="29">
        <v>64987462.5</v>
      </c>
      <c r="W151" s="29">
        <v>75385456.5</v>
      </c>
      <c r="X151" s="6"/>
      <c r="AA151" s="6">
        <v>18960</v>
      </c>
    </row>
    <row r="152" spans="1:27" x14ac:dyDescent="0.25">
      <c r="A152" s="5" t="s">
        <v>189</v>
      </c>
      <c r="B152" s="15" t="s">
        <v>190</v>
      </c>
      <c r="H152" s="1" t="s">
        <v>191</v>
      </c>
      <c r="I152" s="35" t="s">
        <v>192</v>
      </c>
      <c r="J152" s="1">
        <v>2</v>
      </c>
      <c r="K152" s="33" t="s">
        <v>65</v>
      </c>
      <c r="L152" s="1">
        <v>18</v>
      </c>
      <c r="M152" s="1" t="s">
        <v>193</v>
      </c>
      <c r="N152" s="1" t="s">
        <v>194</v>
      </c>
      <c r="O152" s="16">
        <v>46023</v>
      </c>
      <c r="P152" s="16">
        <v>46387</v>
      </c>
      <c r="Q152" s="17">
        <v>12.133333333333333</v>
      </c>
      <c r="R152" s="1">
        <v>46</v>
      </c>
      <c r="S152" s="1">
        <v>115</v>
      </c>
      <c r="T152" s="29">
        <v>26002470</v>
      </c>
      <c r="U152" s="29">
        <v>30162865.199999999</v>
      </c>
      <c r="V152" s="29">
        <v>64987462.5</v>
      </c>
      <c r="W152" s="29">
        <v>75385456.5</v>
      </c>
      <c r="X152" s="6"/>
      <c r="AA152" s="6">
        <v>18960</v>
      </c>
    </row>
    <row r="153" spans="1:27" x14ac:dyDescent="0.25">
      <c r="A153" s="5" t="s">
        <v>189</v>
      </c>
      <c r="B153" s="15" t="s">
        <v>190</v>
      </c>
      <c r="H153" s="1" t="s">
        <v>191</v>
      </c>
      <c r="I153" s="35" t="s">
        <v>192</v>
      </c>
      <c r="J153" s="1">
        <v>2</v>
      </c>
      <c r="K153" s="2" t="s">
        <v>68</v>
      </c>
      <c r="L153" s="1">
        <v>26</v>
      </c>
      <c r="M153" s="1" t="s">
        <v>193</v>
      </c>
      <c r="N153" s="1" t="s">
        <v>194</v>
      </c>
      <c r="O153" s="16">
        <v>46023</v>
      </c>
      <c r="P153" s="16">
        <v>46387</v>
      </c>
      <c r="Q153" s="17">
        <v>12.133333333333333</v>
      </c>
      <c r="R153" s="1">
        <v>48</v>
      </c>
      <c r="S153" s="1">
        <v>120</v>
      </c>
      <c r="T153" s="29">
        <v>26002470</v>
      </c>
      <c r="U153" s="29">
        <v>30162865.199999999</v>
      </c>
      <c r="V153" s="29">
        <v>64987462.5</v>
      </c>
      <c r="W153" s="29">
        <v>75385456.5</v>
      </c>
      <c r="X153" s="6"/>
      <c r="AA153" s="6">
        <v>18960</v>
      </c>
    </row>
    <row r="154" spans="1:27" x14ac:dyDescent="0.25">
      <c r="A154" s="5" t="s">
        <v>189</v>
      </c>
      <c r="B154" s="15" t="s">
        <v>190</v>
      </c>
      <c r="H154" s="1" t="s">
        <v>191</v>
      </c>
      <c r="I154" s="35" t="s">
        <v>192</v>
      </c>
      <c r="J154" s="1">
        <v>2</v>
      </c>
      <c r="K154" s="33" t="s">
        <v>69</v>
      </c>
      <c r="L154" s="1">
        <v>27</v>
      </c>
      <c r="M154" s="1" t="s">
        <v>193</v>
      </c>
      <c r="N154" s="1" t="s">
        <v>194</v>
      </c>
      <c r="O154" s="16">
        <v>46023</v>
      </c>
      <c r="P154" s="16">
        <v>46387</v>
      </c>
      <c r="Q154" s="17">
        <v>12.133333333333333</v>
      </c>
      <c r="R154" s="1">
        <v>76</v>
      </c>
      <c r="S154" s="1">
        <v>190</v>
      </c>
      <c r="T154" s="29">
        <v>26002470</v>
      </c>
      <c r="U154" s="29">
        <v>30162865.199999999</v>
      </c>
      <c r="V154" s="29">
        <v>64987462.5</v>
      </c>
      <c r="W154" s="29">
        <v>75385456.5</v>
      </c>
      <c r="X154" s="6"/>
      <c r="AA154" s="6">
        <v>18960</v>
      </c>
    </row>
    <row r="155" spans="1:27" x14ac:dyDescent="0.25">
      <c r="A155" s="5" t="s">
        <v>189</v>
      </c>
      <c r="B155" s="15" t="s">
        <v>190</v>
      </c>
      <c r="H155" s="1" t="s">
        <v>191</v>
      </c>
      <c r="I155" s="35" t="s">
        <v>192</v>
      </c>
      <c r="J155" s="1">
        <v>3</v>
      </c>
      <c r="K155" s="2" t="s">
        <v>47</v>
      </c>
      <c r="L155" s="1">
        <v>168</v>
      </c>
      <c r="M155" s="1" t="s">
        <v>193</v>
      </c>
      <c r="N155" s="1" t="s">
        <v>194</v>
      </c>
      <c r="O155" s="16">
        <v>46023</v>
      </c>
      <c r="P155" s="16">
        <v>46387</v>
      </c>
      <c r="Q155" s="17">
        <v>12.133333333333333</v>
      </c>
      <c r="R155" s="1">
        <v>710</v>
      </c>
      <c r="S155" s="1">
        <v>1775</v>
      </c>
      <c r="T155" s="29">
        <v>26002470</v>
      </c>
      <c r="U155" s="29">
        <v>30162865.199999999</v>
      </c>
      <c r="V155" s="29">
        <v>64987462.5</v>
      </c>
      <c r="W155" s="29">
        <v>75385456.5</v>
      </c>
      <c r="X155" s="6"/>
      <c r="AA155" s="6">
        <v>16420</v>
      </c>
    </row>
    <row r="156" spans="1:27" x14ac:dyDescent="0.25">
      <c r="A156" s="5" t="s">
        <v>189</v>
      </c>
      <c r="B156" s="15" t="s">
        <v>190</v>
      </c>
      <c r="H156" s="1" t="s">
        <v>191</v>
      </c>
      <c r="I156" s="35" t="s">
        <v>192</v>
      </c>
      <c r="J156" s="1">
        <v>3</v>
      </c>
      <c r="K156" s="2" t="s">
        <v>56</v>
      </c>
      <c r="L156" s="1">
        <v>45</v>
      </c>
      <c r="M156" s="1" t="s">
        <v>193</v>
      </c>
      <c r="N156" s="1" t="s">
        <v>194</v>
      </c>
      <c r="O156" s="16">
        <v>46023</v>
      </c>
      <c r="P156" s="16">
        <v>46387</v>
      </c>
      <c r="Q156" s="17">
        <v>12.133333333333333</v>
      </c>
      <c r="R156" s="1">
        <v>112</v>
      </c>
      <c r="S156" s="1">
        <v>280</v>
      </c>
      <c r="T156" s="29">
        <v>26002470</v>
      </c>
      <c r="U156" s="29">
        <v>30162865.199999999</v>
      </c>
      <c r="V156" s="29">
        <v>64987462.5</v>
      </c>
      <c r="W156" s="29">
        <v>75385456.5</v>
      </c>
      <c r="X156" s="6"/>
      <c r="AA156" s="6">
        <v>16420</v>
      </c>
    </row>
    <row r="157" spans="1:27" x14ac:dyDescent="0.25">
      <c r="A157" s="5" t="s">
        <v>189</v>
      </c>
      <c r="B157" s="15" t="s">
        <v>190</v>
      </c>
      <c r="H157" s="1" t="s">
        <v>191</v>
      </c>
      <c r="I157" s="35" t="s">
        <v>192</v>
      </c>
      <c r="J157" s="1">
        <v>3</v>
      </c>
      <c r="K157" s="2" t="s">
        <v>57</v>
      </c>
      <c r="L157" s="1">
        <v>32</v>
      </c>
      <c r="M157" s="1" t="s">
        <v>193</v>
      </c>
      <c r="N157" s="1" t="s">
        <v>194</v>
      </c>
      <c r="O157" s="16">
        <v>46023</v>
      </c>
      <c r="P157" s="16">
        <v>46387</v>
      </c>
      <c r="Q157" s="17">
        <v>12.133333333333333</v>
      </c>
      <c r="R157" s="1">
        <v>80</v>
      </c>
      <c r="S157" s="1">
        <v>200</v>
      </c>
      <c r="T157" s="29">
        <v>26002470</v>
      </c>
      <c r="U157" s="29">
        <v>30162865.199999999</v>
      </c>
      <c r="V157" s="29">
        <v>64987462.5</v>
      </c>
      <c r="W157" s="29">
        <v>75385456.5</v>
      </c>
      <c r="X157" s="6"/>
      <c r="AA157" s="6">
        <v>16420</v>
      </c>
    </row>
    <row r="158" spans="1:27" x14ac:dyDescent="0.25">
      <c r="A158" s="5" t="s">
        <v>189</v>
      </c>
      <c r="B158" s="15" t="s">
        <v>190</v>
      </c>
      <c r="H158" s="1" t="s">
        <v>191</v>
      </c>
      <c r="I158" s="35" t="s">
        <v>192</v>
      </c>
      <c r="J158" s="1">
        <v>3</v>
      </c>
      <c r="K158" s="2" t="s">
        <v>58</v>
      </c>
      <c r="L158" s="1">
        <v>34</v>
      </c>
      <c r="M158" s="1" t="s">
        <v>193</v>
      </c>
      <c r="N158" s="1" t="s">
        <v>194</v>
      </c>
      <c r="O158" s="16">
        <v>46023</v>
      </c>
      <c r="P158" s="16">
        <v>46387</v>
      </c>
      <c r="Q158" s="17">
        <v>12.133333333333333</v>
      </c>
      <c r="R158" s="1">
        <v>76</v>
      </c>
      <c r="S158" s="1">
        <v>190</v>
      </c>
      <c r="T158" s="29">
        <v>26002470</v>
      </c>
      <c r="U158" s="29">
        <v>30162865.199999999</v>
      </c>
      <c r="V158" s="29">
        <v>64987462.5</v>
      </c>
      <c r="W158" s="29">
        <v>75385456.5</v>
      </c>
      <c r="X158" s="6"/>
      <c r="AA158" s="6">
        <v>16420</v>
      </c>
    </row>
    <row r="159" spans="1:27" x14ac:dyDescent="0.25">
      <c r="A159" s="5" t="s">
        <v>189</v>
      </c>
      <c r="B159" s="15" t="s">
        <v>190</v>
      </c>
      <c r="H159" s="1" t="s">
        <v>191</v>
      </c>
      <c r="I159" s="35" t="s">
        <v>192</v>
      </c>
      <c r="J159" s="1">
        <v>3</v>
      </c>
      <c r="K159" s="2" t="s">
        <v>78</v>
      </c>
      <c r="L159" s="1">
        <v>38</v>
      </c>
      <c r="M159" s="1" t="s">
        <v>193</v>
      </c>
      <c r="N159" s="1" t="s">
        <v>194</v>
      </c>
      <c r="O159" s="16">
        <v>46023</v>
      </c>
      <c r="P159" s="16">
        <v>46387</v>
      </c>
      <c r="Q159" s="17">
        <v>12.133333333333333</v>
      </c>
      <c r="R159" s="1">
        <v>50</v>
      </c>
      <c r="S159" s="1">
        <v>125</v>
      </c>
      <c r="T159" s="29">
        <v>26002470</v>
      </c>
      <c r="U159" s="29">
        <v>30162865.199999999</v>
      </c>
      <c r="V159" s="29">
        <v>64987462.5</v>
      </c>
      <c r="W159" s="29">
        <v>75385456.5</v>
      </c>
      <c r="X159" s="6"/>
      <c r="AA159" s="6">
        <v>16420</v>
      </c>
    </row>
    <row r="160" spans="1:27" x14ac:dyDescent="0.25">
      <c r="A160" s="5" t="s">
        <v>189</v>
      </c>
      <c r="B160" s="15" t="s">
        <v>190</v>
      </c>
      <c r="H160" s="1" t="s">
        <v>191</v>
      </c>
      <c r="I160" s="35" t="s">
        <v>192</v>
      </c>
      <c r="J160" s="1">
        <v>3</v>
      </c>
      <c r="K160" s="2" t="s">
        <v>50</v>
      </c>
      <c r="L160" s="1">
        <v>18</v>
      </c>
      <c r="M160" s="1" t="s">
        <v>193</v>
      </c>
      <c r="N160" s="1" t="s">
        <v>194</v>
      </c>
      <c r="O160" s="16">
        <v>46023</v>
      </c>
      <c r="P160" s="16">
        <v>46387</v>
      </c>
      <c r="Q160" s="17">
        <v>12.133333333333333</v>
      </c>
      <c r="R160" s="1">
        <v>44</v>
      </c>
      <c r="S160" s="1">
        <v>110</v>
      </c>
      <c r="T160" s="29">
        <v>26002470</v>
      </c>
      <c r="U160" s="29">
        <v>30162865.199999999</v>
      </c>
      <c r="V160" s="29">
        <v>64987462.5</v>
      </c>
      <c r="W160" s="29">
        <v>75385456.5</v>
      </c>
      <c r="X160" s="6"/>
      <c r="AA160" s="6">
        <v>16420</v>
      </c>
    </row>
    <row r="161" spans="1:27" x14ac:dyDescent="0.25">
      <c r="A161" s="5" t="s">
        <v>189</v>
      </c>
      <c r="B161" s="15" t="s">
        <v>190</v>
      </c>
      <c r="H161" s="1" t="s">
        <v>191</v>
      </c>
      <c r="I161" s="35" t="s">
        <v>192</v>
      </c>
      <c r="J161" s="1">
        <v>3</v>
      </c>
      <c r="K161" s="2" t="s">
        <v>59</v>
      </c>
      <c r="L161" s="1">
        <v>9</v>
      </c>
      <c r="M161" s="1" t="s">
        <v>193</v>
      </c>
      <c r="N161" s="1" t="s">
        <v>194</v>
      </c>
      <c r="O161" s="16">
        <v>46023</v>
      </c>
      <c r="P161" s="16">
        <v>46387</v>
      </c>
      <c r="Q161" s="17">
        <v>12.133333333333333</v>
      </c>
      <c r="R161" s="1">
        <v>42</v>
      </c>
      <c r="S161" s="1">
        <v>105</v>
      </c>
      <c r="T161" s="29">
        <v>26002470</v>
      </c>
      <c r="U161" s="29">
        <v>30162865.199999999</v>
      </c>
      <c r="V161" s="29">
        <v>64987462.5</v>
      </c>
      <c r="W161" s="29">
        <v>75385456.5</v>
      </c>
      <c r="X161" s="6"/>
      <c r="AA161" s="6">
        <v>16420</v>
      </c>
    </row>
    <row r="162" spans="1:27" x14ac:dyDescent="0.25">
      <c r="A162" s="5" t="s">
        <v>189</v>
      </c>
      <c r="B162" s="15" t="s">
        <v>190</v>
      </c>
      <c r="H162" s="1" t="s">
        <v>191</v>
      </c>
      <c r="I162" s="35" t="s">
        <v>192</v>
      </c>
      <c r="J162" s="1">
        <v>4</v>
      </c>
      <c r="K162" s="2" t="s">
        <v>81</v>
      </c>
      <c r="L162" s="1">
        <v>35</v>
      </c>
      <c r="M162" s="1" t="s">
        <v>193</v>
      </c>
      <c r="N162" s="1" t="s">
        <v>194</v>
      </c>
      <c r="O162" s="16">
        <v>46023</v>
      </c>
      <c r="P162" s="16">
        <v>46387</v>
      </c>
      <c r="Q162" s="17">
        <v>12.133333333333333</v>
      </c>
      <c r="R162" s="1">
        <v>92</v>
      </c>
      <c r="S162" s="1">
        <v>230</v>
      </c>
      <c r="T162" s="29">
        <v>26002470</v>
      </c>
      <c r="U162" s="29">
        <v>30162865.199999999</v>
      </c>
      <c r="V162" s="29">
        <v>64987462.5</v>
      </c>
      <c r="W162" s="29">
        <v>75385456.5</v>
      </c>
      <c r="X162" s="6"/>
      <c r="AA162" s="6">
        <v>16900</v>
      </c>
    </row>
    <row r="163" spans="1:27" x14ac:dyDescent="0.25">
      <c r="A163" s="5" t="s">
        <v>189</v>
      </c>
      <c r="B163" s="15" t="s">
        <v>190</v>
      </c>
      <c r="H163" s="1" t="s">
        <v>191</v>
      </c>
      <c r="I163" s="35" t="s">
        <v>192</v>
      </c>
      <c r="J163" s="1">
        <v>4</v>
      </c>
      <c r="K163" s="2" t="s">
        <v>64</v>
      </c>
      <c r="L163" s="1">
        <v>45</v>
      </c>
      <c r="M163" s="1" t="s">
        <v>193</v>
      </c>
      <c r="N163" s="1" t="s">
        <v>194</v>
      </c>
      <c r="O163" s="16">
        <v>46023</v>
      </c>
      <c r="P163" s="16">
        <v>46387</v>
      </c>
      <c r="Q163" s="17">
        <v>12.133333333333333</v>
      </c>
      <c r="R163" s="1">
        <v>80</v>
      </c>
      <c r="S163" s="1">
        <v>200</v>
      </c>
      <c r="T163" s="29">
        <v>26002470</v>
      </c>
      <c r="U163" s="29">
        <v>30162865.199999999</v>
      </c>
      <c r="V163" s="29">
        <v>64987462.5</v>
      </c>
      <c r="W163" s="29">
        <v>75385456.5</v>
      </c>
      <c r="X163" s="6"/>
      <c r="AA163" s="6">
        <v>16900</v>
      </c>
    </row>
    <row r="164" spans="1:27" x14ac:dyDescent="0.25">
      <c r="A164" s="5" t="s">
        <v>189</v>
      </c>
      <c r="B164" s="15" t="s">
        <v>190</v>
      </c>
      <c r="H164" s="1" t="s">
        <v>191</v>
      </c>
      <c r="I164" s="35" t="s">
        <v>192</v>
      </c>
      <c r="J164" s="1">
        <v>4</v>
      </c>
      <c r="K164" s="2" t="s">
        <v>79</v>
      </c>
      <c r="L164" s="1">
        <v>39</v>
      </c>
      <c r="M164" s="1" t="s">
        <v>193</v>
      </c>
      <c r="N164" s="1" t="s">
        <v>194</v>
      </c>
      <c r="O164" s="16">
        <v>46023</v>
      </c>
      <c r="P164" s="16">
        <v>46387</v>
      </c>
      <c r="Q164" s="17">
        <v>12.133333333333333</v>
      </c>
      <c r="R164" s="1">
        <v>60</v>
      </c>
      <c r="S164" s="1">
        <v>150</v>
      </c>
      <c r="T164" s="29">
        <v>26002470</v>
      </c>
      <c r="U164" s="29">
        <v>30162865.199999999</v>
      </c>
      <c r="V164" s="29">
        <v>64987462.5</v>
      </c>
      <c r="W164" s="29">
        <v>75385456.5</v>
      </c>
      <c r="X164" s="6"/>
      <c r="AA164" s="6">
        <v>16900</v>
      </c>
    </row>
    <row r="165" spans="1:27" x14ac:dyDescent="0.25">
      <c r="A165" s="5" t="s">
        <v>189</v>
      </c>
      <c r="B165" s="15" t="s">
        <v>190</v>
      </c>
      <c r="H165" s="1" t="s">
        <v>191</v>
      </c>
      <c r="I165" s="35" t="s">
        <v>192</v>
      </c>
      <c r="J165" s="1">
        <v>4</v>
      </c>
      <c r="K165" s="2" t="s">
        <v>84</v>
      </c>
      <c r="L165" s="1">
        <v>21</v>
      </c>
      <c r="M165" s="1" t="s">
        <v>193</v>
      </c>
      <c r="N165" s="1" t="s">
        <v>194</v>
      </c>
      <c r="O165" s="16">
        <v>46023</v>
      </c>
      <c r="P165" s="16">
        <v>46387</v>
      </c>
      <c r="Q165" s="17">
        <v>12.133333333333333</v>
      </c>
      <c r="R165" s="1">
        <v>42</v>
      </c>
      <c r="S165" s="1">
        <v>105</v>
      </c>
      <c r="T165" s="29">
        <v>26002470</v>
      </c>
      <c r="U165" s="29">
        <v>30162865.199999999</v>
      </c>
      <c r="V165" s="29">
        <v>64987462.5</v>
      </c>
      <c r="W165" s="29">
        <v>75385456.5</v>
      </c>
      <c r="X165" s="6"/>
      <c r="AA165" s="6">
        <v>16900</v>
      </c>
    </row>
    <row r="166" spans="1:27" x14ac:dyDescent="0.25">
      <c r="A166" s="5" t="s">
        <v>189</v>
      </c>
      <c r="B166" s="15" t="s">
        <v>190</v>
      </c>
      <c r="H166" s="1" t="s">
        <v>191</v>
      </c>
      <c r="I166" s="35" t="s">
        <v>192</v>
      </c>
      <c r="J166" s="1">
        <v>4</v>
      </c>
      <c r="K166" s="2" t="s">
        <v>77</v>
      </c>
      <c r="L166" s="1">
        <v>49</v>
      </c>
      <c r="M166" s="1" t="s">
        <v>193</v>
      </c>
      <c r="N166" s="1" t="s">
        <v>194</v>
      </c>
      <c r="O166" s="16">
        <v>46023</v>
      </c>
      <c r="P166" s="16">
        <v>46387</v>
      </c>
      <c r="Q166" s="17">
        <v>12.133333333333333</v>
      </c>
      <c r="R166" s="1">
        <v>76</v>
      </c>
      <c r="S166" s="1">
        <v>190</v>
      </c>
      <c r="T166" s="29">
        <v>26002470</v>
      </c>
      <c r="U166" s="29">
        <v>30162865.199999999</v>
      </c>
      <c r="V166" s="29">
        <v>64987462.5</v>
      </c>
      <c r="W166" s="29">
        <v>75385456.5</v>
      </c>
      <c r="X166" s="6"/>
      <c r="AA166" s="6">
        <v>16900</v>
      </c>
    </row>
    <row r="167" spans="1:27" x14ac:dyDescent="0.25">
      <c r="A167" s="5" t="s">
        <v>189</v>
      </c>
      <c r="B167" s="15" t="s">
        <v>190</v>
      </c>
      <c r="H167" s="1" t="s">
        <v>191</v>
      </c>
      <c r="I167" s="35" t="s">
        <v>192</v>
      </c>
      <c r="J167" s="1">
        <v>4</v>
      </c>
      <c r="K167" s="2" t="s">
        <v>82</v>
      </c>
      <c r="L167" s="1">
        <v>15</v>
      </c>
      <c r="M167" s="1" t="s">
        <v>193</v>
      </c>
      <c r="N167" s="1" t="s">
        <v>194</v>
      </c>
      <c r="O167" s="16">
        <v>46023</v>
      </c>
      <c r="P167" s="16">
        <v>46387</v>
      </c>
      <c r="Q167" s="17">
        <v>12.133333333333333</v>
      </c>
      <c r="R167" s="1">
        <v>32</v>
      </c>
      <c r="S167" s="1">
        <v>80</v>
      </c>
      <c r="T167" s="29">
        <v>26002470</v>
      </c>
      <c r="U167" s="29">
        <v>30162865.199999999</v>
      </c>
      <c r="V167" s="29">
        <v>64987462.5</v>
      </c>
      <c r="W167" s="29">
        <v>75385456.5</v>
      </c>
      <c r="X167" s="6"/>
      <c r="AA167" s="6">
        <v>16900</v>
      </c>
    </row>
    <row r="168" spans="1:27" x14ac:dyDescent="0.25">
      <c r="A168" s="5" t="s">
        <v>189</v>
      </c>
      <c r="B168" s="15" t="s">
        <v>190</v>
      </c>
      <c r="H168" s="1" t="s">
        <v>191</v>
      </c>
      <c r="I168" s="35" t="s">
        <v>192</v>
      </c>
      <c r="J168" s="1">
        <v>4</v>
      </c>
      <c r="K168" s="2" t="s">
        <v>80</v>
      </c>
      <c r="L168" s="1">
        <v>26</v>
      </c>
      <c r="M168" s="1" t="s">
        <v>193</v>
      </c>
      <c r="N168" s="1" t="s">
        <v>194</v>
      </c>
      <c r="O168" s="16">
        <v>46023</v>
      </c>
      <c r="P168" s="16">
        <v>46387</v>
      </c>
      <c r="Q168" s="17">
        <v>12.133333333333333</v>
      </c>
      <c r="R168" s="1">
        <v>50</v>
      </c>
      <c r="S168" s="1">
        <v>125</v>
      </c>
      <c r="T168" s="29">
        <v>26002470</v>
      </c>
      <c r="U168" s="29">
        <v>30162865.199999999</v>
      </c>
      <c r="V168" s="29">
        <v>64987462.5</v>
      </c>
      <c r="W168" s="29">
        <v>75385456.5</v>
      </c>
      <c r="X168" s="6"/>
      <c r="AA168" s="6">
        <v>16900</v>
      </c>
    </row>
    <row r="169" spans="1:27" x14ac:dyDescent="0.25">
      <c r="A169" s="5" t="s">
        <v>189</v>
      </c>
      <c r="B169" s="15" t="s">
        <v>190</v>
      </c>
      <c r="H169" s="1" t="s">
        <v>191</v>
      </c>
      <c r="I169" s="35" t="s">
        <v>192</v>
      </c>
      <c r="J169" s="1">
        <v>4</v>
      </c>
      <c r="K169" s="2" t="s">
        <v>83</v>
      </c>
      <c r="L169" s="1">
        <v>12</v>
      </c>
      <c r="M169" s="1" t="s">
        <v>193</v>
      </c>
      <c r="N169" s="1" t="s">
        <v>194</v>
      </c>
      <c r="O169" s="16">
        <v>46023</v>
      </c>
      <c r="P169" s="16">
        <v>46387</v>
      </c>
      <c r="Q169" s="17">
        <v>12.133333333333333</v>
      </c>
      <c r="R169" s="1">
        <v>36</v>
      </c>
      <c r="S169" s="1">
        <v>90</v>
      </c>
      <c r="T169" s="29">
        <v>26002470</v>
      </c>
      <c r="U169" s="29">
        <v>30162865.199999999</v>
      </c>
      <c r="V169" s="29">
        <v>64987462.5</v>
      </c>
      <c r="W169" s="29">
        <v>75385456.5</v>
      </c>
      <c r="X169" s="6"/>
      <c r="AA169" s="6">
        <v>16900</v>
      </c>
    </row>
    <row r="170" spans="1:27" x14ac:dyDescent="0.25">
      <c r="A170" s="5" t="s">
        <v>195</v>
      </c>
      <c r="B170" s="15" t="s">
        <v>44</v>
      </c>
      <c r="H170" s="1" t="s">
        <v>196</v>
      </c>
      <c r="I170" s="35" t="s">
        <v>197</v>
      </c>
      <c r="J170" s="1">
        <v>1</v>
      </c>
      <c r="K170" t="s">
        <v>47</v>
      </c>
      <c r="L170" s="1">
        <v>14</v>
      </c>
      <c r="M170" s="1" t="s">
        <v>48</v>
      </c>
      <c r="N170" s="1" t="s">
        <v>48</v>
      </c>
      <c r="O170" s="16">
        <v>46032</v>
      </c>
      <c r="P170" s="16">
        <v>46387</v>
      </c>
      <c r="Q170" s="17">
        <v>11.833333333333334</v>
      </c>
      <c r="R170" s="1">
        <v>189</v>
      </c>
      <c r="S170" s="1">
        <v>189</v>
      </c>
      <c r="T170" s="31">
        <v>2823275.8620689656</v>
      </c>
      <c r="U170" s="31">
        <v>3275000</v>
      </c>
      <c r="V170" s="31">
        <v>28232758.620689657</v>
      </c>
      <c r="W170" s="31">
        <v>32750000</v>
      </c>
      <c r="X170" s="6"/>
      <c r="AA170" s="6" t="s">
        <v>198</v>
      </c>
    </row>
    <row r="171" spans="1:27" x14ac:dyDescent="0.25">
      <c r="A171" s="5" t="s">
        <v>195</v>
      </c>
      <c r="B171" s="15" t="s">
        <v>44</v>
      </c>
      <c r="H171" s="1" t="s">
        <v>196</v>
      </c>
      <c r="I171" s="35" t="s">
        <v>197</v>
      </c>
      <c r="J171" s="1">
        <v>1</v>
      </c>
      <c r="K171" t="s">
        <v>47</v>
      </c>
      <c r="L171" s="1">
        <v>27</v>
      </c>
      <c r="M171" s="1" t="s">
        <v>48</v>
      </c>
      <c r="N171" s="1" t="s">
        <v>48</v>
      </c>
      <c r="O171" s="16">
        <v>46032</v>
      </c>
      <c r="P171" s="16">
        <v>46387</v>
      </c>
      <c r="Q171" s="17">
        <v>11.833333333333334</v>
      </c>
      <c r="R171" s="1">
        <v>269</v>
      </c>
      <c r="S171" s="1">
        <v>269</v>
      </c>
      <c r="T171" s="31">
        <v>2823275.8620689656</v>
      </c>
      <c r="U171" s="31">
        <v>3275000</v>
      </c>
      <c r="V171" s="31">
        <v>28232758.620689657</v>
      </c>
      <c r="W171" s="31">
        <v>32750000</v>
      </c>
      <c r="AA171" s="6" t="s">
        <v>198</v>
      </c>
    </row>
    <row r="172" spans="1:27" x14ac:dyDescent="0.25">
      <c r="A172" s="5" t="s">
        <v>195</v>
      </c>
      <c r="B172" s="15" t="s">
        <v>44</v>
      </c>
      <c r="H172" s="1" t="s">
        <v>196</v>
      </c>
      <c r="I172" s="35" t="s">
        <v>197</v>
      </c>
      <c r="J172" s="1">
        <v>1</v>
      </c>
      <c r="K172" t="s">
        <v>47</v>
      </c>
      <c r="L172" s="1">
        <v>13</v>
      </c>
      <c r="M172" s="1" t="s">
        <v>48</v>
      </c>
      <c r="N172" s="1" t="s">
        <v>48</v>
      </c>
      <c r="O172" s="16">
        <v>46032</v>
      </c>
      <c r="P172" s="16">
        <v>46387</v>
      </c>
      <c r="Q172" s="17">
        <v>11.833333333333334</v>
      </c>
      <c r="R172" s="1">
        <v>188</v>
      </c>
      <c r="S172" s="1">
        <v>188</v>
      </c>
      <c r="T172" s="31">
        <v>2823275.8620689656</v>
      </c>
      <c r="U172" s="31">
        <v>3275000</v>
      </c>
      <c r="V172" s="31">
        <v>28232758.620689657</v>
      </c>
      <c r="W172" s="31">
        <v>32750000</v>
      </c>
      <c r="AA172" s="6" t="s">
        <v>198</v>
      </c>
    </row>
    <row r="173" spans="1:27" x14ac:dyDescent="0.25">
      <c r="A173" s="5" t="s">
        <v>195</v>
      </c>
      <c r="B173" s="15" t="s">
        <v>44</v>
      </c>
      <c r="H173" s="1" t="s">
        <v>196</v>
      </c>
      <c r="I173" s="35" t="s">
        <v>197</v>
      </c>
      <c r="J173" s="1">
        <v>1</v>
      </c>
      <c r="K173" t="s">
        <v>47</v>
      </c>
      <c r="L173" s="1">
        <v>24</v>
      </c>
      <c r="M173" s="1" t="s">
        <v>48</v>
      </c>
      <c r="N173" s="1" t="s">
        <v>48</v>
      </c>
      <c r="O173" s="16">
        <v>46032</v>
      </c>
      <c r="P173" s="16">
        <v>46387</v>
      </c>
      <c r="Q173" s="17">
        <v>11.833333333333334</v>
      </c>
      <c r="R173" s="1">
        <v>371</v>
      </c>
      <c r="S173" s="1">
        <v>371</v>
      </c>
      <c r="T173" s="31">
        <v>2823275.8620689656</v>
      </c>
      <c r="U173" s="31">
        <v>3275000</v>
      </c>
      <c r="V173" s="31">
        <v>28232758.620689657</v>
      </c>
      <c r="W173" s="31">
        <v>32750000</v>
      </c>
      <c r="AA173" s="6" t="s">
        <v>198</v>
      </c>
    </row>
    <row r="174" spans="1:27" x14ac:dyDescent="0.25">
      <c r="A174" s="5" t="s">
        <v>199</v>
      </c>
      <c r="B174" s="15" t="s">
        <v>200</v>
      </c>
      <c r="H174" s="1" t="s">
        <v>201</v>
      </c>
      <c r="I174" s="35" t="s">
        <v>201</v>
      </c>
      <c r="J174" s="1" t="s">
        <v>125</v>
      </c>
      <c r="K174" t="s">
        <v>47</v>
      </c>
      <c r="L174" s="1">
        <v>49</v>
      </c>
      <c r="M174" s="1" t="s">
        <v>202</v>
      </c>
      <c r="N174" s="1" t="s">
        <v>202</v>
      </c>
      <c r="O174" s="16">
        <v>46023</v>
      </c>
      <c r="P174" s="16">
        <v>46387</v>
      </c>
      <c r="Q174" s="17">
        <v>12.133333333333333</v>
      </c>
      <c r="R174" s="1">
        <v>62</v>
      </c>
      <c r="S174" s="1">
        <v>62</v>
      </c>
      <c r="T174" s="32">
        <v>3890640.6970000002</v>
      </c>
      <c r="U174" s="32">
        <v>4513143.2089999998</v>
      </c>
      <c r="V174" s="31">
        <v>6889516.6050000004</v>
      </c>
      <c r="W174" s="31">
        <v>7991839.2609999999</v>
      </c>
      <c r="AA174" s="6">
        <v>16890.964619999999</v>
      </c>
    </row>
    <row r="175" spans="1:27" x14ac:dyDescent="0.25">
      <c r="A175" s="5" t="s">
        <v>199</v>
      </c>
      <c r="B175" s="15" t="s">
        <v>200</v>
      </c>
      <c r="H175" s="1" t="s">
        <v>201</v>
      </c>
      <c r="I175" s="35" t="s">
        <v>201</v>
      </c>
      <c r="J175" s="1" t="s">
        <v>125</v>
      </c>
      <c r="K175" t="s">
        <v>47</v>
      </c>
      <c r="L175" s="1">
        <v>36</v>
      </c>
      <c r="M175" s="1" t="s">
        <v>202</v>
      </c>
      <c r="N175" s="1" t="s">
        <v>202</v>
      </c>
      <c r="O175" s="16">
        <v>46023</v>
      </c>
      <c r="P175" s="16">
        <v>46387</v>
      </c>
      <c r="Q175" s="17">
        <v>12.133333333333333</v>
      </c>
      <c r="R175" s="1">
        <v>43</v>
      </c>
      <c r="S175" s="1">
        <v>43</v>
      </c>
      <c r="T175" s="32">
        <v>3890640.6970000002</v>
      </c>
      <c r="U175" s="32">
        <v>4513143.2089999998</v>
      </c>
      <c r="V175" s="31">
        <v>6889516.6050000004</v>
      </c>
      <c r="W175" s="31">
        <v>7991839.2609999999</v>
      </c>
      <c r="AA175" s="6">
        <v>16890.964619999999</v>
      </c>
    </row>
    <row r="176" spans="1:27" x14ac:dyDescent="0.25">
      <c r="A176" s="5" t="s">
        <v>199</v>
      </c>
      <c r="B176" s="15" t="s">
        <v>200</v>
      </c>
      <c r="H176" s="1" t="s">
        <v>201</v>
      </c>
      <c r="I176" s="35" t="s">
        <v>201</v>
      </c>
      <c r="J176" s="1" t="s">
        <v>125</v>
      </c>
      <c r="K176" t="s">
        <v>47</v>
      </c>
      <c r="L176" s="1">
        <v>39</v>
      </c>
      <c r="M176" s="1" t="s">
        <v>202</v>
      </c>
      <c r="N176" s="1" t="s">
        <v>202</v>
      </c>
      <c r="O176" s="16">
        <v>46023</v>
      </c>
      <c r="P176" s="16">
        <v>46387</v>
      </c>
      <c r="Q176" s="17">
        <v>12.133333333333333</v>
      </c>
      <c r="R176" s="1">
        <v>42</v>
      </c>
      <c r="S176" s="1">
        <v>42</v>
      </c>
      <c r="T176" s="32">
        <v>3890640.6970000002</v>
      </c>
      <c r="U176" s="32">
        <v>4513143.2089999998</v>
      </c>
      <c r="V176" s="31">
        <v>6889516.6050000004</v>
      </c>
      <c r="W176" s="31">
        <v>7991839.2609999999</v>
      </c>
      <c r="AA176" s="6">
        <v>16890.964619999999</v>
      </c>
    </row>
    <row r="177" spans="1:27" x14ac:dyDescent="0.25">
      <c r="A177" s="5" t="s">
        <v>199</v>
      </c>
      <c r="B177" s="15" t="s">
        <v>200</v>
      </c>
      <c r="H177" s="1" t="s">
        <v>201</v>
      </c>
      <c r="I177" s="35" t="s">
        <v>201</v>
      </c>
      <c r="J177" s="1" t="s">
        <v>125</v>
      </c>
      <c r="K177" t="s">
        <v>47</v>
      </c>
      <c r="L177" s="1">
        <v>5</v>
      </c>
      <c r="M177" s="1" t="s">
        <v>202</v>
      </c>
      <c r="N177" s="1" t="s">
        <v>202</v>
      </c>
      <c r="O177" s="16">
        <v>46023</v>
      </c>
      <c r="P177" s="16">
        <v>46387</v>
      </c>
      <c r="Q177" s="17">
        <v>12.133333333333333</v>
      </c>
      <c r="R177" s="1">
        <v>4</v>
      </c>
      <c r="S177" s="1">
        <v>4</v>
      </c>
      <c r="T177" s="32">
        <v>3890640.6970000002</v>
      </c>
      <c r="U177" s="32">
        <v>4513143.2089999998</v>
      </c>
      <c r="V177" s="31">
        <v>6889516.6050000004</v>
      </c>
      <c r="W177" s="31">
        <v>7991839.2609999999</v>
      </c>
      <c r="AA177" s="6">
        <v>16890.964619999999</v>
      </c>
    </row>
    <row r="178" spans="1:27" x14ac:dyDescent="0.25">
      <c r="A178" s="5" t="s">
        <v>199</v>
      </c>
      <c r="B178" s="15" t="s">
        <v>200</v>
      </c>
      <c r="H178" s="1" t="s">
        <v>201</v>
      </c>
      <c r="I178" s="35" t="s">
        <v>201</v>
      </c>
      <c r="J178" s="1" t="s">
        <v>125</v>
      </c>
      <c r="K178" t="s">
        <v>47</v>
      </c>
      <c r="L178" s="1">
        <v>51</v>
      </c>
      <c r="M178" s="1" t="s">
        <v>202</v>
      </c>
      <c r="N178" s="1" t="s">
        <v>202</v>
      </c>
      <c r="O178" s="16">
        <v>46023</v>
      </c>
      <c r="P178" s="16">
        <v>46387</v>
      </c>
      <c r="Q178" s="17">
        <v>12.133333333333333</v>
      </c>
      <c r="R178" s="1">
        <v>55</v>
      </c>
      <c r="S178" s="1">
        <v>55</v>
      </c>
      <c r="T178" s="32">
        <v>3890640.6970000002</v>
      </c>
      <c r="U178" s="32">
        <v>4513143.2089999998</v>
      </c>
      <c r="V178" s="31">
        <v>6889516.6050000004</v>
      </c>
      <c r="W178" s="31">
        <v>7991839.2609999999</v>
      </c>
      <c r="AA178" s="6">
        <v>16890.964619999999</v>
      </c>
    </row>
    <row r="179" spans="1:27" x14ac:dyDescent="0.25">
      <c r="A179" s="5" t="s">
        <v>199</v>
      </c>
      <c r="B179" s="15" t="s">
        <v>200</v>
      </c>
      <c r="H179" s="1" t="s">
        <v>201</v>
      </c>
      <c r="I179" s="35" t="s">
        <v>201</v>
      </c>
      <c r="J179" s="1" t="s">
        <v>125</v>
      </c>
      <c r="K179" t="s">
        <v>47</v>
      </c>
      <c r="L179" s="1">
        <v>37</v>
      </c>
      <c r="M179" s="1" t="s">
        <v>202</v>
      </c>
      <c r="N179" s="1" t="s">
        <v>202</v>
      </c>
      <c r="O179" s="16">
        <v>46023</v>
      </c>
      <c r="P179" s="16">
        <v>46387</v>
      </c>
      <c r="Q179" s="17">
        <v>12.133333333333333</v>
      </c>
      <c r="R179" s="1">
        <v>38</v>
      </c>
      <c r="S179" s="1">
        <v>38</v>
      </c>
      <c r="T179" s="32">
        <v>3890640.6970000002</v>
      </c>
      <c r="U179" s="32">
        <v>4513143.2089999998</v>
      </c>
      <c r="V179" s="31">
        <v>6889516.6050000004</v>
      </c>
      <c r="W179" s="31">
        <v>7991839.2609999999</v>
      </c>
      <c r="AA179" s="6">
        <v>16890.964619999999</v>
      </c>
    </row>
    <row r="180" spans="1:27" x14ac:dyDescent="0.25">
      <c r="A180" s="5" t="s">
        <v>199</v>
      </c>
      <c r="B180" s="15" t="s">
        <v>200</v>
      </c>
      <c r="H180" s="1" t="s">
        <v>201</v>
      </c>
      <c r="I180" s="35" t="s">
        <v>201</v>
      </c>
      <c r="J180" s="1" t="s">
        <v>125</v>
      </c>
      <c r="K180" t="s">
        <v>47</v>
      </c>
      <c r="L180" s="1">
        <v>5</v>
      </c>
      <c r="M180" s="1" t="s">
        <v>202</v>
      </c>
      <c r="N180" s="1" t="s">
        <v>202</v>
      </c>
      <c r="O180" s="16">
        <v>46023</v>
      </c>
      <c r="P180" s="16">
        <v>46387</v>
      </c>
      <c r="Q180" s="17">
        <v>12.133333333333333</v>
      </c>
      <c r="R180" s="1">
        <v>32</v>
      </c>
      <c r="S180" s="1">
        <v>32</v>
      </c>
      <c r="T180" s="32">
        <v>3890640.6970000002</v>
      </c>
      <c r="U180" s="32">
        <v>4513143.2089999998</v>
      </c>
      <c r="V180" s="31">
        <v>6889516.6050000004</v>
      </c>
      <c r="W180" s="31">
        <v>7991839.2609999999</v>
      </c>
      <c r="AA180" s="6">
        <v>16890.964619999999</v>
      </c>
    </row>
    <row r="181" spans="1:27" x14ac:dyDescent="0.25">
      <c r="A181" s="30" t="s">
        <v>203</v>
      </c>
      <c r="B181" s="15" t="s">
        <v>122</v>
      </c>
      <c r="H181" s="1" t="s">
        <v>204</v>
      </c>
      <c r="I181" s="35" t="s">
        <v>205</v>
      </c>
      <c r="J181" s="1" t="s">
        <v>125</v>
      </c>
      <c r="K181" s="2" t="s">
        <v>47</v>
      </c>
      <c r="L181" s="1">
        <v>2</v>
      </c>
      <c r="M181" s="1" t="s">
        <v>126</v>
      </c>
      <c r="N181" s="1" t="s">
        <v>126</v>
      </c>
      <c r="O181" s="16">
        <v>46113</v>
      </c>
      <c r="P181" s="16">
        <v>46387</v>
      </c>
      <c r="Q181" s="17">
        <f>(P181-O181)/30</f>
        <v>9.1333333333333329</v>
      </c>
      <c r="R181" s="1">
        <v>15</v>
      </c>
      <c r="S181" s="1">
        <v>15</v>
      </c>
      <c r="T181" s="6">
        <v>0</v>
      </c>
      <c r="U181" s="6">
        <v>0</v>
      </c>
      <c r="V181" s="6">
        <v>2443500</v>
      </c>
      <c r="W181" s="6">
        <f>(V181*0.16)+V181</f>
        <v>2834460</v>
      </c>
      <c r="Z181" s="6"/>
      <c r="AA181" s="6">
        <v>18100</v>
      </c>
    </row>
    <row r="182" spans="1:27" x14ac:dyDescent="0.25">
      <c r="A182" s="5" t="s">
        <v>206</v>
      </c>
      <c r="B182" s="15" t="s">
        <v>44</v>
      </c>
      <c r="H182" s="1" t="s">
        <v>207</v>
      </c>
      <c r="I182" s="35" t="s">
        <v>208</v>
      </c>
      <c r="J182" s="1" t="s">
        <v>125</v>
      </c>
      <c r="K182" s="2" t="s">
        <v>56</v>
      </c>
      <c r="L182" s="1">
        <v>673</v>
      </c>
      <c r="M182" s="1" t="s">
        <v>48</v>
      </c>
      <c r="N182" s="1" t="s">
        <v>48</v>
      </c>
      <c r="O182" s="16">
        <v>46082</v>
      </c>
      <c r="P182" s="16">
        <v>46387</v>
      </c>
      <c r="Q182" s="17">
        <f>MONTH(P182-O182)</f>
        <v>10</v>
      </c>
      <c r="R182" s="1">
        <v>1852</v>
      </c>
      <c r="S182" s="1">
        <v>1852</v>
      </c>
      <c r="T182" s="6">
        <v>195377758.15517241</v>
      </c>
      <c r="U182" s="18">
        <v>226638199.46000001</v>
      </c>
      <c r="V182" s="6">
        <v>325629496.55000001</v>
      </c>
      <c r="W182" s="6">
        <v>377730216</v>
      </c>
      <c r="Y182" s="6"/>
      <c r="AA182" s="6">
        <v>19681.95</v>
      </c>
    </row>
    <row r="183" spans="1:27" x14ac:dyDescent="0.25">
      <c r="A183" s="5" t="s">
        <v>209</v>
      </c>
      <c r="B183" s="15" t="s">
        <v>44</v>
      </c>
      <c r="H183" s="1" t="s">
        <v>210</v>
      </c>
      <c r="I183" s="35" t="s">
        <v>211</v>
      </c>
      <c r="J183" s="1" t="s">
        <v>125</v>
      </c>
      <c r="K183" s="2" t="s">
        <v>56</v>
      </c>
      <c r="L183" s="1">
        <v>35</v>
      </c>
      <c r="M183" s="1" t="s">
        <v>212</v>
      </c>
      <c r="N183" s="1" t="s">
        <v>48</v>
      </c>
      <c r="O183" s="16">
        <v>46094</v>
      </c>
      <c r="P183" s="16">
        <v>46458</v>
      </c>
      <c r="Q183" s="17">
        <v>12.133333333333333</v>
      </c>
      <c r="R183" s="1">
        <v>201</v>
      </c>
      <c r="S183" s="1">
        <v>201</v>
      </c>
      <c r="T183" s="6">
        <v>0</v>
      </c>
      <c r="U183" s="6">
        <v>0</v>
      </c>
      <c r="V183" s="31">
        <v>24255000</v>
      </c>
      <c r="W183" s="31">
        <v>28135800</v>
      </c>
      <c r="AA183" s="6" t="s">
        <v>213</v>
      </c>
    </row>
    <row r="184" spans="1:27" x14ac:dyDescent="0.25">
      <c r="A184" s="5" t="s">
        <v>209</v>
      </c>
      <c r="B184" s="15" t="s">
        <v>44</v>
      </c>
      <c r="H184" s="1" t="s">
        <v>210</v>
      </c>
      <c r="I184" s="35" t="s">
        <v>211</v>
      </c>
      <c r="J184" s="1" t="s">
        <v>125</v>
      </c>
      <c r="K184" t="s">
        <v>56</v>
      </c>
      <c r="L184" s="1">
        <v>18</v>
      </c>
      <c r="M184" s="1" t="s">
        <v>212</v>
      </c>
      <c r="N184" s="1" t="s">
        <v>48</v>
      </c>
      <c r="O184" s="16">
        <v>46094</v>
      </c>
      <c r="P184" s="16">
        <v>46458</v>
      </c>
      <c r="Q184" s="17">
        <v>12.133333333333333</v>
      </c>
      <c r="R184" s="1">
        <v>109</v>
      </c>
      <c r="S184" s="1">
        <v>109</v>
      </c>
      <c r="T184" s="6">
        <v>0</v>
      </c>
      <c r="U184" s="6">
        <v>0</v>
      </c>
      <c r="V184" s="31">
        <v>24255000</v>
      </c>
      <c r="W184" s="31">
        <v>28135800</v>
      </c>
      <c r="AA184" s="6" t="s">
        <v>213</v>
      </c>
    </row>
    <row r="185" spans="1:27" x14ac:dyDescent="0.25">
      <c r="A185" s="5" t="s">
        <v>209</v>
      </c>
      <c r="B185" s="15" t="s">
        <v>44</v>
      </c>
      <c r="H185" s="1" t="s">
        <v>210</v>
      </c>
      <c r="I185" s="35" t="s">
        <v>211</v>
      </c>
      <c r="J185" s="1" t="s">
        <v>125</v>
      </c>
      <c r="K185" t="s">
        <v>56</v>
      </c>
      <c r="L185" s="1">
        <v>20</v>
      </c>
      <c r="M185" s="1" t="s">
        <v>212</v>
      </c>
      <c r="N185" s="1" t="s">
        <v>48</v>
      </c>
      <c r="O185" s="16">
        <v>46094</v>
      </c>
      <c r="P185" s="16">
        <v>46458</v>
      </c>
      <c r="Q185" s="17">
        <v>12.133333333333333</v>
      </c>
      <c r="R185" s="1">
        <v>93</v>
      </c>
      <c r="S185" s="1">
        <v>93</v>
      </c>
      <c r="T185" s="6">
        <v>0</v>
      </c>
      <c r="U185" s="6">
        <v>0</v>
      </c>
      <c r="V185" s="31">
        <v>24255000</v>
      </c>
      <c r="W185" s="31">
        <v>28135800</v>
      </c>
      <c r="AA185" s="6" t="s">
        <v>213</v>
      </c>
    </row>
    <row r="186" spans="1:27" x14ac:dyDescent="0.25">
      <c r="A186" s="5" t="s">
        <v>209</v>
      </c>
      <c r="B186" s="15" t="s">
        <v>44</v>
      </c>
      <c r="H186" s="1" t="s">
        <v>210</v>
      </c>
      <c r="I186" s="35" t="s">
        <v>211</v>
      </c>
      <c r="J186" s="1" t="s">
        <v>125</v>
      </c>
      <c r="K186" s="2" t="s">
        <v>56</v>
      </c>
      <c r="L186" s="1">
        <v>8</v>
      </c>
      <c r="M186" s="1" t="s">
        <v>212</v>
      </c>
      <c r="N186" s="1" t="s">
        <v>48</v>
      </c>
      <c r="O186" s="16">
        <v>46094</v>
      </c>
      <c r="P186" s="16">
        <v>46458</v>
      </c>
      <c r="Q186" s="17">
        <v>12.133333333333333</v>
      </c>
      <c r="R186" s="1">
        <v>59</v>
      </c>
      <c r="S186" s="1">
        <v>59</v>
      </c>
      <c r="T186" s="6">
        <v>0</v>
      </c>
      <c r="U186" s="6">
        <v>0</v>
      </c>
      <c r="V186" s="31">
        <v>24255000</v>
      </c>
      <c r="W186" s="31">
        <v>28135800</v>
      </c>
      <c r="AA186" s="6" t="s">
        <v>213</v>
      </c>
    </row>
    <row r="187" spans="1:27" x14ac:dyDescent="0.25">
      <c r="A187" s="30" t="s">
        <v>214</v>
      </c>
      <c r="B187" s="15" t="s">
        <v>122</v>
      </c>
      <c r="H187" s="1" t="s">
        <v>215</v>
      </c>
      <c r="I187" s="35" t="s">
        <v>216</v>
      </c>
      <c r="J187" s="1" t="s">
        <v>125</v>
      </c>
      <c r="K187" s="2" t="s">
        <v>70</v>
      </c>
      <c r="L187" s="1">
        <v>1</v>
      </c>
      <c r="M187" s="1" t="s">
        <v>126</v>
      </c>
      <c r="N187" s="1" t="s">
        <v>126</v>
      </c>
      <c r="O187" s="16">
        <v>46082</v>
      </c>
      <c r="P187" s="16">
        <v>46387</v>
      </c>
      <c r="Q187" s="17">
        <f t="shared" ref="Q187:Q217" si="5">(P187-O187)/30</f>
        <v>10.166666666666666</v>
      </c>
      <c r="R187" s="1">
        <v>1</v>
      </c>
      <c r="S187" s="1">
        <v>1</v>
      </c>
      <c r="T187" s="6">
        <v>74374.577450980389</v>
      </c>
      <c r="U187" s="6">
        <v>86274.509843137261</v>
      </c>
      <c r="V187" s="6">
        <v>185936.44352941174</v>
      </c>
      <c r="W187" s="6">
        <v>215686.27449411765</v>
      </c>
      <c r="Y187" s="6"/>
      <c r="AA187" s="6">
        <v>15058.28</v>
      </c>
    </row>
    <row r="188" spans="1:27" x14ac:dyDescent="0.25">
      <c r="A188" s="30" t="s">
        <v>214</v>
      </c>
      <c r="B188" s="15" t="s">
        <v>122</v>
      </c>
      <c r="H188" s="1" t="s">
        <v>215</v>
      </c>
      <c r="I188" s="35" t="s">
        <v>216</v>
      </c>
      <c r="J188" s="1" t="s">
        <v>125</v>
      </c>
      <c r="K188" s="2" t="s">
        <v>72</v>
      </c>
      <c r="L188" s="1">
        <v>1</v>
      </c>
      <c r="M188" s="1" t="s">
        <v>126</v>
      </c>
      <c r="N188" s="1" t="s">
        <v>126</v>
      </c>
      <c r="O188" s="16">
        <v>46082</v>
      </c>
      <c r="P188" s="16">
        <v>46387</v>
      </c>
      <c r="Q188" s="17">
        <f t="shared" si="5"/>
        <v>10.166666666666666</v>
      </c>
      <c r="R188" s="1">
        <v>1</v>
      </c>
      <c r="S188" s="1">
        <v>1</v>
      </c>
      <c r="T188" s="6">
        <v>74374.577450980389</v>
      </c>
      <c r="U188" s="6">
        <v>86274.509843137261</v>
      </c>
      <c r="V188" s="6">
        <v>185936.44352941174</v>
      </c>
      <c r="W188" s="6">
        <v>215686.27449411765</v>
      </c>
      <c r="AA188" s="6">
        <v>17197.72</v>
      </c>
    </row>
    <row r="189" spans="1:27" x14ac:dyDescent="0.25">
      <c r="A189" s="30" t="s">
        <v>214</v>
      </c>
      <c r="B189" s="15" t="s">
        <v>122</v>
      </c>
      <c r="H189" s="1" t="s">
        <v>215</v>
      </c>
      <c r="I189" s="35" t="s">
        <v>216</v>
      </c>
      <c r="J189" s="1" t="s">
        <v>125</v>
      </c>
      <c r="K189" s="2" t="s">
        <v>73</v>
      </c>
      <c r="L189" s="1">
        <v>1</v>
      </c>
      <c r="M189" s="1" t="s">
        <v>126</v>
      </c>
      <c r="N189" s="1" t="s">
        <v>126</v>
      </c>
      <c r="O189" s="16">
        <v>46082</v>
      </c>
      <c r="P189" s="16">
        <v>46387</v>
      </c>
      <c r="Q189" s="17">
        <f t="shared" si="5"/>
        <v>10.166666666666666</v>
      </c>
      <c r="R189" s="1">
        <v>1</v>
      </c>
      <c r="S189" s="1">
        <v>1</v>
      </c>
      <c r="T189" s="6">
        <v>74374.577450980389</v>
      </c>
      <c r="U189" s="6">
        <v>86274.509843137261</v>
      </c>
      <c r="V189" s="6">
        <v>185936.44352941174</v>
      </c>
      <c r="W189" s="6">
        <v>215686.27449411765</v>
      </c>
      <c r="AA189" s="6">
        <v>16454.18</v>
      </c>
    </row>
    <row r="190" spans="1:27" x14ac:dyDescent="0.25">
      <c r="A190" s="30" t="s">
        <v>214</v>
      </c>
      <c r="B190" s="15" t="s">
        <v>122</v>
      </c>
      <c r="H190" s="1" t="s">
        <v>215</v>
      </c>
      <c r="I190" s="35" t="s">
        <v>216</v>
      </c>
      <c r="J190" s="1" t="s">
        <v>125</v>
      </c>
      <c r="K190" s="2" t="s">
        <v>83</v>
      </c>
      <c r="L190" s="1">
        <v>1</v>
      </c>
      <c r="M190" s="1" t="s">
        <v>126</v>
      </c>
      <c r="N190" s="1" t="s">
        <v>126</v>
      </c>
      <c r="O190" s="16">
        <v>46082</v>
      </c>
      <c r="P190" s="16">
        <v>46387</v>
      </c>
      <c r="Q190" s="17">
        <f t="shared" si="5"/>
        <v>10.166666666666666</v>
      </c>
      <c r="R190" s="1">
        <v>1</v>
      </c>
      <c r="S190" s="1">
        <v>1</v>
      </c>
      <c r="T190" s="6">
        <v>74374.577450980389</v>
      </c>
      <c r="U190" s="6">
        <v>86274.509843137261</v>
      </c>
      <c r="V190" s="6">
        <v>185936.44352941174</v>
      </c>
      <c r="W190" s="6">
        <v>215686.27449411765</v>
      </c>
      <c r="AA190" s="6">
        <v>16022.65</v>
      </c>
    </row>
    <row r="191" spans="1:27" x14ac:dyDescent="0.25">
      <c r="A191" s="30" t="s">
        <v>214</v>
      </c>
      <c r="B191" s="15" t="s">
        <v>122</v>
      </c>
      <c r="H191" s="1" t="s">
        <v>215</v>
      </c>
      <c r="I191" s="35" t="s">
        <v>216</v>
      </c>
      <c r="J191" s="1" t="s">
        <v>125</v>
      </c>
      <c r="K191" s="2" t="s">
        <v>47</v>
      </c>
      <c r="L191" s="1">
        <v>2</v>
      </c>
      <c r="M191" s="1" t="s">
        <v>126</v>
      </c>
      <c r="N191" s="1" t="s">
        <v>126</v>
      </c>
      <c r="O191" s="16">
        <v>46082</v>
      </c>
      <c r="P191" s="16">
        <v>46387</v>
      </c>
      <c r="Q191" s="17">
        <f t="shared" si="5"/>
        <v>10.166666666666666</v>
      </c>
      <c r="R191" s="1">
        <v>19</v>
      </c>
      <c r="S191" s="1">
        <v>19</v>
      </c>
      <c r="T191" s="6">
        <v>1413116.9715686273</v>
      </c>
      <c r="U191" s="6">
        <v>1639215.687019608</v>
      </c>
      <c r="V191" s="6">
        <v>3532792.4270588229</v>
      </c>
      <c r="W191" s="6">
        <v>4098039.2153882352</v>
      </c>
      <c r="AA191" s="6">
        <v>15081.65</v>
      </c>
    </row>
    <row r="192" spans="1:27" x14ac:dyDescent="0.25">
      <c r="A192" s="30" t="s">
        <v>214</v>
      </c>
      <c r="B192" s="15" t="s">
        <v>122</v>
      </c>
      <c r="H192" s="1" t="s">
        <v>215</v>
      </c>
      <c r="I192" s="35" t="s">
        <v>216</v>
      </c>
      <c r="J192" s="1" t="s">
        <v>125</v>
      </c>
      <c r="K192" s="2" t="s">
        <v>81</v>
      </c>
      <c r="L192" s="1">
        <v>1</v>
      </c>
      <c r="M192" s="1" t="s">
        <v>126</v>
      </c>
      <c r="N192" s="1" t="s">
        <v>126</v>
      </c>
      <c r="O192" s="16">
        <v>46082</v>
      </c>
      <c r="P192" s="16">
        <v>46387</v>
      </c>
      <c r="Q192" s="17">
        <f t="shared" si="5"/>
        <v>10.166666666666666</v>
      </c>
      <c r="R192" s="1">
        <v>1</v>
      </c>
      <c r="S192" s="1">
        <v>1</v>
      </c>
      <c r="T192" s="6">
        <v>74374.577450980389</v>
      </c>
      <c r="U192" s="6">
        <v>86274.509843137261</v>
      </c>
      <c r="V192" s="6">
        <v>185936.44352941174</v>
      </c>
      <c r="W192" s="6">
        <v>215686.27449411765</v>
      </c>
      <c r="AA192" s="6">
        <v>15463.57</v>
      </c>
    </row>
    <row r="193" spans="1:27" x14ac:dyDescent="0.25">
      <c r="A193" s="30" t="s">
        <v>214</v>
      </c>
      <c r="B193" s="15" t="s">
        <v>122</v>
      </c>
      <c r="H193" s="1" t="s">
        <v>215</v>
      </c>
      <c r="I193" s="35" t="s">
        <v>216</v>
      </c>
      <c r="J193" s="1" t="s">
        <v>125</v>
      </c>
      <c r="K193" s="2" t="s">
        <v>75</v>
      </c>
      <c r="L193" s="1">
        <v>2</v>
      </c>
      <c r="M193" s="1" t="s">
        <v>126</v>
      </c>
      <c r="N193" s="1" t="s">
        <v>126</v>
      </c>
      <c r="O193" s="16">
        <v>46082</v>
      </c>
      <c r="P193" s="16">
        <v>46387</v>
      </c>
      <c r="Q193" s="17">
        <f t="shared" si="5"/>
        <v>10.166666666666666</v>
      </c>
      <c r="R193" s="1">
        <v>2</v>
      </c>
      <c r="S193" s="1">
        <v>2</v>
      </c>
      <c r="T193" s="6">
        <v>148749.15490196078</v>
      </c>
      <c r="U193" s="6">
        <v>172549.01968627452</v>
      </c>
      <c r="V193" s="6">
        <v>371872.88705882349</v>
      </c>
      <c r="W193" s="6">
        <v>431372.5489882353</v>
      </c>
      <c r="AA193" s="6">
        <v>16963.8</v>
      </c>
    </row>
    <row r="194" spans="1:27" x14ac:dyDescent="0.25">
      <c r="A194" s="30" t="s">
        <v>214</v>
      </c>
      <c r="B194" s="15" t="s">
        <v>122</v>
      </c>
      <c r="H194" s="1" t="s">
        <v>215</v>
      </c>
      <c r="I194" s="35" t="s">
        <v>216</v>
      </c>
      <c r="J194" s="1" t="s">
        <v>125</v>
      </c>
      <c r="K194" s="2" t="s">
        <v>67</v>
      </c>
      <c r="L194" s="1">
        <v>1</v>
      </c>
      <c r="M194" s="1" t="s">
        <v>126</v>
      </c>
      <c r="N194" s="1" t="s">
        <v>126</v>
      </c>
      <c r="O194" s="16">
        <v>46082</v>
      </c>
      <c r="P194" s="16">
        <v>46387</v>
      </c>
      <c r="Q194" s="17">
        <f t="shared" si="5"/>
        <v>10.166666666666666</v>
      </c>
      <c r="R194" s="1">
        <v>1</v>
      </c>
      <c r="S194" s="1">
        <v>1</v>
      </c>
      <c r="T194" s="6">
        <v>74374.577450980389</v>
      </c>
      <c r="U194" s="6">
        <v>86274.509843137261</v>
      </c>
      <c r="V194" s="6">
        <v>185936.44352941174</v>
      </c>
      <c r="W194" s="6">
        <v>215686.27449411765</v>
      </c>
      <c r="AA194" s="6">
        <v>16942.259999999998</v>
      </c>
    </row>
    <row r="195" spans="1:27" x14ac:dyDescent="0.25">
      <c r="A195" s="30" t="s">
        <v>214</v>
      </c>
      <c r="B195" s="15" t="s">
        <v>122</v>
      </c>
      <c r="H195" s="1" t="s">
        <v>215</v>
      </c>
      <c r="I195" s="35" t="s">
        <v>216</v>
      </c>
      <c r="J195" s="1" t="s">
        <v>125</v>
      </c>
      <c r="K195" s="2" t="s">
        <v>61</v>
      </c>
      <c r="L195" s="1">
        <v>1</v>
      </c>
      <c r="M195" s="1" t="s">
        <v>126</v>
      </c>
      <c r="N195" s="1" t="s">
        <v>126</v>
      </c>
      <c r="O195" s="16">
        <v>46082</v>
      </c>
      <c r="P195" s="16">
        <v>46387</v>
      </c>
      <c r="Q195" s="17">
        <f t="shared" si="5"/>
        <v>10.166666666666666</v>
      </c>
      <c r="R195" s="1">
        <v>1</v>
      </c>
      <c r="S195" s="1">
        <v>1</v>
      </c>
      <c r="T195" s="6">
        <v>74374.577450980389</v>
      </c>
      <c r="U195" s="6">
        <v>86274.509843137261</v>
      </c>
      <c r="V195" s="6">
        <v>185936.44352941174</v>
      </c>
      <c r="W195" s="6">
        <v>215686.27449411765</v>
      </c>
      <c r="AA195" s="6">
        <v>15321.01</v>
      </c>
    </row>
    <row r="196" spans="1:27" x14ac:dyDescent="0.25">
      <c r="A196" s="30" t="s">
        <v>214</v>
      </c>
      <c r="B196" s="15" t="s">
        <v>122</v>
      </c>
      <c r="H196" s="1" t="s">
        <v>215</v>
      </c>
      <c r="I196" s="35" t="s">
        <v>216</v>
      </c>
      <c r="J196" s="1" t="s">
        <v>125</v>
      </c>
      <c r="K196" s="2" t="s">
        <v>76</v>
      </c>
      <c r="L196" s="1">
        <v>1</v>
      </c>
      <c r="M196" s="1" t="s">
        <v>126</v>
      </c>
      <c r="N196" s="1" t="s">
        <v>126</v>
      </c>
      <c r="O196" s="16">
        <v>46082</v>
      </c>
      <c r="P196" s="16">
        <v>46387</v>
      </c>
      <c r="Q196" s="17">
        <f t="shared" si="5"/>
        <v>10.166666666666666</v>
      </c>
      <c r="R196" s="1">
        <v>1</v>
      </c>
      <c r="S196" s="1">
        <v>1</v>
      </c>
      <c r="T196" s="6">
        <v>74374.577450980389</v>
      </c>
      <c r="U196" s="6">
        <v>86274.509843137261</v>
      </c>
      <c r="V196" s="6">
        <v>185936.44352941174</v>
      </c>
      <c r="W196" s="6">
        <v>215686.27449411765</v>
      </c>
      <c r="AA196" s="6">
        <v>16000.41</v>
      </c>
    </row>
    <row r="197" spans="1:27" x14ac:dyDescent="0.25">
      <c r="A197" s="30" t="s">
        <v>214</v>
      </c>
      <c r="B197" s="15" t="s">
        <v>122</v>
      </c>
      <c r="H197" s="1" t="s">
        <v>215</v>
      </c>
      <c r="I197" s="35" t="s">
        <v>216</v>
      </c>
      <c r="J197" s="1" t="s">
        <v>125</v>
      </c>
      <c r="K197" s="2" t="s">
        <v>56</v>
      </c>
      <c r="L197" s="1">
        <v>1</v>
      </c>
      <c r="M197" s="1" t="s">
        <v>126</v>
      </c>
      <c r="N197" s="1" t="s">
        <v>126</v>
      </c>
      <c r="O197" s="16">
        <v>46082</v>
      </c>
      <c r="P197" s="16">
        <v>46387</v>
      </c>
      <c r="Q197" s="17">
        <f t="shared" si="5"/>
        <v>10.166666666666666</v>
      </c>
      <c r="R197" s="1">
        <v>1</v>
      </c>
      <c r="S197" s="1">
        <v>1</v>
      </c>
      <c r="T197" s="6">
        <v>74374.577450980389</v>
      </c>
      <c r="U197" s="6">
        <v>86274.509843137261</v>
      </c>
      <c r="V197" s="6">
        <v>185936.44352941174</v>
      </c>
      <c r="W197" s="6">
        <v>215686.27449411765</v>
      </c>
      <c r="AA197" s="6">
        <v>14631.37</v>
      </c>
    </row>
    <row r="198" spans="1:27" x14ac:dyDescent="0.25">
      <c r="A198" s="30" t="s">
        <v>214</v>
      </c>
      <c r="B198" s="15" t="s">
        <v>122</v>
      </c>
      <c r="H198" s="1" t="s">
        <v>215</v>
      </c>
      <c r="I198" s="35" t="s">
        <v>216</v>
      </c>
      <c r="J198" s="1" t="s">
        <v>125</v>
      </c>
      <c r="K198" s="2" t="s">
        <v>62</v>
      </c>
      <c r="L198" s="1">
        <v>1</v>
      </c>
      <c r="M198" s="1" t="s">
        <v>126</v>
      </c>
      <c r="N198" s="1" t="s">
        <v>126</v>
      </c>
      <c r="O198" s="16">
        <v>46082</v>
      </c>
      <c r="P198" s="16">
        <v>46387</v>
      </c>
      <c r="Q198" s="17">
        <f t="shared" si="5"/>
        <v>10.166666666666666</v>
      </c>
      <c r="R198" s="1">
        <v>1</v>
      </c>
      <c r="S198" s="1">
        <v>1</v>
      </c>
      <c r="T198" s="6">
        <v>74374.577450980389</v>
      </c>
      <c r="U198" s="6">
        <v>86274.509843137261</v>
      </c>
      <c r="V198" s="6">
        <v>185936.44352941174</v>
      </c>
      <c r="W198" s="6">
        <v>215686.27449411765</v>
      </c>
      <c r="AA198" s="6">
        <v>14964.64</v>
      </c>
    </row>
    <row r="199" spans="1:27" x14ac:dyDescent="0.25">
      <c r="A199" s="30" t="s">
        <v>214</v>
      </c>
      <c r="B199" s="15" t="s">
        <v>122</v>
      </c>
      <c r="H199" s="1" t="s">
        <v>215</v>
      </c>
      <c r="I199" s="35" t="s">
        <v>216</v>
      </c>
      <c r="J199" s="1" t="s">
        <v>125</v>
      </c>
      <c r="K199" s="2" t="s">
        <v>64</v>
      </c>
      <c r="L199" s="1">
        <v>1</v>
      </c>
      <c r="M199" s="1" t="s">
        <v>126</v>
      </c>
      <c r="N199" s="1" t="s">
        <v>126</v>
      </c>
      <c r="O199" s="16">
        <v>46082</v>
      </c>
      <c r="P199" s="16">
        <v>46387</v>
      </c>
      <c r="Q199" s="17">
        <f t="shared" si="5"/>
        <v>10.166666666666666</v>
      </c>
      <c r="R199" s="1">
        <v>1</v>
      </c>
      <c r="S199" s="1">
        <v>1</v>
      </c>
      <c r="T199" s="6">
        <v>74374.577450980389</v>
      </c>
      <c r="U199" s="6">
        <v>86274.509843137261</v>
      </c>
      <c r="V199" s="6">
        <v>185936.44352941174</v>
      </c>
      <c r="W199" s="6">
        <v>215686.27449411765</v>
      </c>
      <c r="AA199" s="6">
        <v>15072.35</v>
      </c>
    </row>
    <row r="200" spans="1:27" x14ac:dyDescent="0.25">
      <c r="A200" s="30" t="s">
        <v>214</v>
      </c>
      <c r="B200" s="15" t="s">
        <v>122</v>
      </c>
      <c r="H200" s="1" t="s">
        <v>215</v>
      </c>
      <c r="I200" s="35" t="s">
        <v>216</v>
      </c>
      <c r="J200" s="1" t="s">
        <v>125</v>
      </c>
      <c r="K200" s="2" t="s">
        <v>57</v>
      </c>
      <c r="L200" s="1">
        <v>1</v>
      </c>
      <c r="M200" s="1" t="s">
        <v>126</v>
      </c>
      <c r="N200" s="1" t="s">
        <v>126</v>
      </c>
      <c r="O200" s="16">
        <v>46082</v>
      </c>
      <c r="P200" s="16">
        <v>46387</v>
      </c>
      <c r="Q200" s="17">
        <f t="shared" si="5"/>
        <v>10.166666666666666</v>
      </c>
      <c r="R200" s="1">
        <v>1</v>
      </c>
      <c r="S200" s="1">
        <v>1</v>
      </c>
      <c r="T200" s="6">
        <v>74374.577450980389</v>
      </c>
      <c r="U200" s="6">
        <v>86274.509843137261</v>
      </c>
      <c r="V200" s="6">
        <v>185936.44352941174</v>
      </c>
      <c r="W200" s="6">
        <v>215686.27449411765</v>
      </c>
      <c r="AA200" s="6">
        <v>14893.71</v>
      </c>
    </row>
    <row r="201" spans="1:27" x14ac:dyDescent="0.25">
      <c r="A201" s="30" t="s">
        <v>214</v>
      </c>
      <c r="B201" s="15" t="s">
        <v>122</v>
      </c>
      <c r="H201" s="1" t="s">
        <v>215</v>
      </c>
      <c r="I201" s="35" t="s">
        <v>216</v>
      </c>
      <c r="J201" s="1" t="s">
        <v>125</v>
      </c>
      <c r="K201" s="2" t="s">
        <v>60</v>
      </c>
      <c r="L201" s="1">
        <v>1</v>
      </c>
      <c r="M201" s="1" t="s">
        <v>126</v>
      </c>
      <c r="N201" s="1" t="s">
        <v>126</v>
      </c>
      <c r="O201" s="16">
        <v>46082</v>
      </c>
      <c r="P201" s="16">
        <v>46387</v>
      </c>
      <c r="Q201" s="17">
        <f t="shared" si="5"/>
        <v>10.166666666666666</v>
      </c>
      <c r="R201" s="1">
        <v>1</v>
      </c>
      <c r="S201" s="1">
        <v>1</v>
      </c>
      <c r="T201" s="6">
        <v>74374.577450980389</v>
      </c>
      <c r="U201" s="6">
        <v>86274.509843137261</v>
      </c>
      <c r="V201" s="6">
        <v>185936.44352941174</v>
      </c>
      <c r="W201" s="6">
        <v>215686.27449411765</v>
      </c>
      <c r="AA201" s="6">
        <v>15294.94</v>
      </c>
    </row>
    <row r="202" spans="1:27" x14ac:dyDescent="0.25">
      <c r="A202" s="30" t="s">
        <v>214</v>
      </c>
      <c r="B202" s="15" t="s">
        <v>122</v>
      </c>
      <c r="H202" s="1" t="s">
        <v>215</v>
      </c>
      <c r="I202" s="35" t="s">
        <v>216</v>
      </c>
      <c r="J202" s="1" t="s">
        <v>125</v>
      </c>
      <c r="K202" s="2" t="s">
        <v>63</v>
      </c>
      <c r="L202" s="1">
        <v>1</v>
      </c>
      <c r="M202" s="1" t="s">
        <v>126</v>
      </c>
      <c r="N202" s="1" t="s">
        <v>126</v>
      </c>
      <c r="O202" s="16">
        <v>46082</v>
      </c>
      <c r="P202" s="16">
        <v>46387</v>
      </c>
      <c r="Q202" s="17">
        <f t="shared" si="5"/>
        <v>10.166666666666666</v>
      </c>
      <c r="R202" s="1">
        <v>1</v>
      </c>
      <c r="S202" s="1">
        <v>1</v>
      </c>
      <c r="T202" s="6">
        <v>74374.577450980389</v>
      </c>
      <c r="U202" s="6">
        <v>86274.509843137261</v>
      </c>
      <c r="V202" s="6">
        <v>185936.44352941174</v>
      </c>
      <c r="W202" s="6">
        <v>215686.27449411765</v>
      </c>
      <c r="AA202" s="6">
        <v>14996.22</v>
      </c>
    </row>
    <row r="203" spans="1:27" x14ac:dyDescent="0.25">
      <c r="A203" s="30" t="s">
        <v>214</v>
      </c>
      <c r="B203" s="15" t="s">
        <v>122</v>
      </c>
      <c r="H203" s="1" t="s">
        <v>215</v>
      </c>
      <c r="I203" s="35" t="s">
        <v>216</v>
      </c>
      <c r="J203" s="1" t="s">
        <v>125</v>
      </c>
      <c r="K203" s="2" t="s">
        <v>58</v>
      </c>
      <c r="L203" s="1">
        <v>1</v>
      </c>
      <c r="M203" s="1" t="s">
        <v>126</v>
      </c>
      <c r="N203" s="1" t="s">
        <v>126</v>
      </c>
      <c r="O203" s="16">
        <v>46082</v>
      </c>
      <c r="P203" s="16">
        <v>46387</v>
      </c>
      <c r="Q203" s="17">
        <f t="shared" si="5"/>
        <v>10.166666666666666</v>
      </c>
      <c r="R203" s="1">
        <v>1</v>
      </c>
      <c r="S203" s="1">
        <v>1</v>
      </c>
      <c r="T203" s="6">
        <v>74374.577450980389</v>
      </c>
      <c r="U203" s="6">
        <v>86274.509843137261</v>
      </c>
      <c r="V203" s="6">
        <v>185936.44352941174</v>
      </c>
      <c r="W203" s="6">
        <v>215686.27449411765</v>
      </c>
      <c r="AA203" s="6">
        <v>15267.18</v>
      </c>
    </row>
    <row r="204" spans="1:27" x14ac:dyDescent="0.25">
      <c r="A204" s="30" t="s">
        <v>214</v>
      </c>
      <c r="B204" s="15" t="s">
        <v>122</v>
      </c>
      <c r="H204" s="1" t="s">
        <v>215</v>
      </c>
      <c r="I204" s="35" t="s">
        <v>216</v>
      </c>
      <c r="J204" s="1" t="s">
        <v>125</v>
      </c>
      <c r="K204" s="2" t="s">
        <v>65</v>
      </c>
      <c r="L204" s="1">
        <v>1</v>
      </c>
      <c r="M204" s="1" t="s">
        <v>126</v>
      </c>
      <c r="N204" s="1" t="s">
        <v>126</v>
      </c>
      <c r="O204" s="16">
        <v>46082</v>
      </c>
      <c r="P204" s="16">
        <v>46387</v>
      </c>
      <c r="Q204" s="17">
        <f t="shared" si="5"/>
        <v>10.166666666666666</v>
      </c>
      <c r="R204" s="1">
        <v>1</v>
      </c>
      <c r="S204" s="1">
        <v>1</v>
      </c>
      <c r="T204" s="6">
        <v>74374.577450980389</v>
      </c>
      <c r="U204" s="6">
        <v>86274.509843137261</v>
      </c>
      <c r="V204" s="6">
        <v>185936.44352941174</v>
      </c>
      <c r="W204" s="6">
        <v>215686.27449411765</v>
      </c>
      <c r="AA204" s="6">
        <v>15055.22</v>
      </c>
    </row>
    <row r="205" spans="1:27" x14ac:dyDescent="0.25">
      <c r="A205" s="30" t="s">
        <v>214</v>
      </c>
      <c r="B205" s="15" t="s">
        <v>122</v>
      </c>
      <c r="H205" s="1" t="s">
        <v>215</v>
      </c>
      <c r="I205" s="35" t="s">
        <v>216</v>
      </c>
      <c r="J205" s="1" t="s">
        <v>125</v>
      </c>
      <c r="K205" s="2" t="s">
        <v>49</v>
      </c>
      <c r="L205" s="1">
        <v>1</v>
      </c>
      <c r="M205" s="1" t="s">
        <v>126</v>
      </c>
      <c r="N205" s="1" t="s">
        <v>126</v>
      </c>
      <c r="O205" s="16">
        <v>46082</v>
      </c>
      <c r="P205" s="16">
        <v>46387</v>
      </c>
      <c r="Q205" s="17">
        <f t="shared" si="5"/>
        <v>10.166666666666666</v>
      </c>
      <c r="R205" s="1">
        <v>1</v>
      </c>
      <c r="S205" s="1">
        <v>1</v>
      </c>
      <c r="T205" s="6">
        <v>74374.577450980389</v>
      </c>
      <c r="U205" s="6">
        <v>86274.509843137261</v>
      </c>
      <c r="V205" s="6">
        <v>185936.44352941174</v>
      </c>
      <c r="W205" s="6">
        <v>215686.27449411765</v>
      </c>
      <c r="AA205" s="6">
        <v>16776.25</v>
      </c>
    </row>
    <row r="206" spans="1:27" x14ac:dyDescent="0.25">
      <c r="A206" s="30" t="s">
        <v>214</v>
      </c>
      <c r="B206" s="15" t="s">
        <v>122</v>
      </c>
      <c r="H206" s="1" t="s">
        <v>215</v>
      </c>
      <c r="I206" s="35" t="s">
        <v>216</v>
      </c>
      <c r="J206" s="1" t="s">
        <v>125</v>
      </c>
      <c r="K206" s="2" t="s">
        <v>79</v>
      </c>
      <c r="L206" s="1">
        <v>1</v>
      </c>
      <c r="M206" s="1" t="s">
        <v>126</v>
      </c>
      <c r="N206" s="1" t="s">
        <v>126</v>
      </c>
      <c r="O206" s="16">
        <v>46082</v>
      </c>
      <c r="P206" s="16">
        <v>46387</v>
      </c>
      <c r="Q206" s="17">
        <f t="shared" si="5"/>
        <v>10.166666666666666</v>
      </c>
      <c r="R206" s="1">
        <v>1</v>
      </c>
      <c r="S206" s="1">
        <v>1</v>
      </c>
      <c r="T206" s="6">
        <v>74374.577450980389</v>
      </c>
      <c r="U206" s="6">
        <v>86274.509843137261</v>
      </c>
      <c r="V206" s="6">
        <v>185936.44352941174</v>
      </c>
      <c r="W206" s="6">
        <v>215686.27449411765</v>
      </c>
      <c r="AA206" s="6">
        <v>15140.48</v>
      </c>
    </row>
    <row r="207" spans="1:27" x14ac:dyDescent="0.25">
      <c r="A207" s="30" t="s">
        <v>214</v>
      </c>
      <c r="B207" s="15" t="s">
        <v>122</v>
      </c>
      <c r="H207" s="1" t="s">
        <v>215</v>
      </c>
      <c r="I207" s="35" t="s">
        <v>216</v>
      </c>
      <c r="J207" s="1" t="s">
        <v>125</v>
      </c>
      <c r="K207" s="2" t="s">
        <v>78</v>
      </c>
      <c r="L207" s="1">
        <v>1</v>
      </c>
      <c r="M207" s="1" t="s">
        <v>126</v>
      </c>
      <c r="N207" s="1" t="s">
        <v>126</v>
      </c>
      <c r="O207" s="16">
        <v>46082</v>
      </c>
      <c r="P207" s="16">
        <v>46387</v>
      </c>
      <c r="Q207" s="17">
        <f t="shared" si="5"/>
        <v>10.166666666666666</v>
      </c>
      <c r="R207" s="1">
        <v>1</v>
      </c>
      <c r="S207" s="1">
        <v>1</v>
      </c>
      <c r="T207" s="6">
        <v>74374.577450980389</v>
      </c>
      <c r="U207" s="6">
        <v>86274.509843137261</v>
      </c>
      <c r="V207" s="6">
        <v>185936.44352941174</v>
      </c>
      <c r="W207" s="6">
        <v>215686.27449411765</v>
      </c>
      <c r="AA207" s="6">
        <v>14656.58</v>
      </c>
    </row>
    <row r="208" spans="1:27" x14ac:dyDescent="0.25">
      <c r="A208" s="30" t="s">
        <v>214</v>
      </c>
      <c r="B208" s="15" t="s">
        <v>122</v>
      </c>
      <c r="H208" s="1" t="s">
        <v>215</v>
      </c>
      <c r="I208" s="35" t="s">
        <v>216</v>
      </c>
      <c r="J208" s="1" t="s">
        <v>125</v>
      </c>
      <c r="K208" s="2" t="s">
        <v>50</v>
      </c>
      <c r="L208" s="1">
        <v>1</v>
      </c>
      <c r="M208" s="1" t="s">
        <v>126</v>
      </c>
      <c r="N208" s="1" t="s">
        <v>126</v>
      </c>
      <c r="O208" s="16">
        <v>46082</v>
      </c>
      <c r="P208" s="16">
        <v>46387</v>
      </c>
      <c r="Q208" s="17">
        <f t="shared" si="5"/>
        <v>10.166666666666666</v>
      </c>
      <c r="R208" s="1">
        <v>1</v>
      </c>
      <c r="S208" s="1">
        <v>1</v>
      </c>
      <c r="T208" s="6">
        <v>74374.577450980389</v>
      </c>
      <c r="U208" s="6">
        <v>86274.509843137261</v>
      </c>
      <c r="V208" s="6">
        <v>185936.44352941174</v>
      </c>
      <c r="W208" s="6">
        <v>215686.27449411765</v>
      </c>
      <c r="AA208" s="6">
        <v>15634.11</v>
      </c>
    </row>
    <row r="209" spans="1:27" x14ac:dyDescent="0.25">
      <c r="A209" s="30" t="s">
        <v>214</v>
      </c>
      <c r="B209" s="15" t="s">
        <v>122</v>
      </c>
      <c r="H209" s="1" t="s">
        <v>215</v>
      </c>
      <c r="I209" s="35" t="s">
        <v>216</v>
      </c>
      <c r="J209" s="1" t="s">
        <v>125</v>
      </c>
      <c r="K209" s="2" t="s">
        <v>82</v>
      </c>
      <c r="L209" s="1">
        <v>2</v>
      </c>
      <c r="M209" s="1" t="s">
        <v>126</v>
      </c>
      <c r="N209" s="1" t="s">
        <v>126</v>
      </c>
      <c r="O209" s="16">
        <v>46082</v>
      </c>
      <c r="P209" s="16">
        <v>46387</v>
      </c>
      <c r="Q209" s="17">
        <f t="shared" si="5"/>
        <v>10.166666666666666</v>
      </c>
      <c r="R209" s="1">
        <v>2</v>
      </c>
      <c r="S209" s="1">
        <v>2</v>
      </c>
      <c r="T209" s="6">
        <v>148749.15490196078</v>
      </c>
      <c r="U209" s="6">
        <v>172549.01968627452</v>
      </c>
      <c r="V209" s="6">
        <v>371872.88705882349</v>
      </c>
      <c r="W209" s="6">
        <v>431372.5489882353</v>
      </c>
      <c r="AA209" s="6">
        <v>16186.6</v>
      </c>
    </row>
    <row r="210" spans="1:27" x14ac:dyDescent="0.25">
      <c r="A210" s="30" t="s">
        <v>214</v>
      </c>
      <c r="B210" s="15" t="s">
        <v>122</v>
      </c>
      <c r="H210" s="1" t="s">
        <v>215</v>
      </c>
      <c r="I210" s="35" t="s">
        <v>216</v>
      </c>
      <c r="J210" s="1" t="s">
        <v>125</v>
      </c>
      <c r="K210" s="2" t="s">
        <v>68</v>
      </c>
      <c r="L210" s="1">
        <v>1</v>
      </c>
      <c r="M210" s="1" t="s">
        <v>126</v>
      </c>
      <c r="N210" s="1" t="s">
        <v>126</v>
      </c>
      <c r="O210" s="16">
        <v>46082</v>
      </c>
      <c r="P210" s="16">
        <v>46387</v>
      </c>
      <c r="Q210" s="17">
        <f t="shared" si="5"/>
        <v>10.166666666666666</v>
      </c>
      <c r="R210" s="1">
        <v>1</v>
      </c>
      <c r="S210" s="1">
        <v>1</v>
      </c>
      <c r="T210" s="6">
        <v>74374.577450980389</v>
      </c>
      <c r="U210" s="6">
        <v>86274.509843137261</v>
      </c>
      <c r="V210" s="6">
        <v>185936.44352941174</v>
      </c>
      <c r="W210" s="6">
        <v>215686.27449411765</v>
      </c>
      <c r="AA210" s="6">
        <v>15104.85</v>
      </c>
    </row>
    <row r="211" spans="1:27" x14ac:dyDescent="0.25">
      <c r="A211" s="30" t="s">
        <v>214</v>
      </c>
      <c r="B211" s="15" t="s">
        <v>122</v>
      </c>
      <c r="H211" s="1" t="s">
        <v>215</v>
      </c>
      <c r="I211" s="35" t="s">
        <v>216</v>
      </c>
      <c r="J211" s="1" t="s">
        <v>125</v>
      </c>
      <c r="K211" s="2" t="s">
        <v>74</v>
      </c>
      <c r="L211" s="1">
        <v>1</v>
      </c>
      <c r="M211" s="1" t="s">
        <v>126</v>
      </c>
      <c r="N211" s="1" t="s">
        <v>126</v>
      </c>
      <c r="O211" s="16">
        <v>46082</v>
      </c>
      <c r="P211" s="16">
        <v>46387</v>
      </c>
      <c r="Q211" s="17">
        <f t="shared" si="5"/>
        <v>10.166666666666666</v>
      </c>
      <c r="R211" s="1">
        <v>1</v>
      </c>
      <c r="S211" s="1">
        <v>1</v>
      </c>
      <c r="T211" s="6">
        <v>74374.577450980389</v>
      </c>
      <c r="U211" s="6">
        <v>86274.509843137261</v>
      </c>
      <c r="V211" s="6">
        <v>185936.44352941174</v>
      </c>
      <c r="W211" s="6">
        <v>215686.27449411765</v>
      </c>
      <c r="AA211" s="6">
        <v>15510.56</v>
      </c>
    </row>
    <row r="212" spans="1:27" x14ac:dyDescent="0.25">
      <c r="A212" s="30" t="s">
        <v>214</v>
      </c>
      <c r="B212" s="15" t="s">
        <v>122</v>
      </c>
      <c r="H212" s="1" t="s">
        <v>215</v>
      </c>
      <c r="I212" s="35" t="s">
        <v>216</v>
      </c>
      <c r="J212" s="1" t="s">
        <v>125</v>
      </c>
      <c r="K212" s="2" t="s">
        <v>71</v>
      </c>
      <c r="L212" s="1">
        <v>1</v>
      </c>
      <c r="M212" s="1" t="s">
        <v>126</v>
      </c>
      <c r="N212" s="1" t="s">
        <v>126</v>
      </c>
      <c r="O212" s="16">
        <v>46082</v>
      </c>
      <c r="P212" s="16">
        <v>46387</v>
      </c>
      <c r="Q212" s="17">
        <f t="shared" si="5"/>
        <v>10.166666666666666</v>
      </c>
      <c r="R212" s="1">
        <v>1</v>
      </c>
      <c r="S212" s="1">
        <v>1</v>
      </c>
      <c r="T212" s="6">
        <v>74374.577450980389</v>
      </c>
      <c r="U212" s="6">
        <v>86274.509843137261</v>
      </c>
      <c r="V212" s="6">
        <v>185936.44352941174</v>
      </c>
      <c r="W212" s="6">
        <v>215686.27449411765</v>
      </c>
      <c r="AA212" s="6">
        <v>16648.79</v>
      </c>
    </row>
    <row r="213" spans="1:27" x14ac:dyDescent="0.25">
      <c r="A213" s="30" t="s">
        <v>214</v>
      </c>
      <c r="B213" s="15" t="s">
        <v>122</v>
      </c>
      <c r="H213" s="1" t="s">
        <v>215</v>
      </c>
      <c r="I213" s="35" t="s">
        <v>216</v>
      </c>
      <c r="J213" s="1" t="s">
        <v>125</v>
      </c>
      <c r="K213" s="2" t="s">
        <v>84</v>
      </c>
      <c r="L213" s="1">
        <v>1</v>
      </c>
      <c r="M213" s="1" t="s">
        <v>126</v>
      </c>
      <c r="N213" s="1" t="s">
        <v>126</v>
      </c>
      <c r="O213" s="16">
        <v>46082</v>
      </c>
      <c r="P213" s="16">
        <v>46387</v>
      </c>
      <c r="Q213" s="17">
        <f t="shared" si="5"/>
        <v>10.166666666666666</v>
      </c>
      <c r="R213" s="1">
        <v>1</v>
      </c>
      <c r="S213" s="1">
        <v>1</v>
      </c>
      <c r="T213" s="6">
        <v>74374.577450980389</v>
      </c>
      <c r="U213" s="6">
        <v>86274.509843137261</v>
      </c>
      <c r="V213" s="6">
        <v>185936.44352941174</v>
      </c>
      <c r="W213" s="6">
        <v>215686.27449411765</v>
      </c>
      <c r="AA213" s="6">
        <v>15438.34</v>
      </c>
    </row>
    <row r="214" spans="1:27" x14ac:dyDescent="0.25">
      <c r="A214" s="30" t="s">
        <v>214</v>
      </c>
      <c r="B214" s="15" t="s">
        <v>122</v>
      </c>
      <c r="H214" s="1" t="s">
        <v>215</v>
      </c>
      <c r="I214" s="35" t="s">
        <v>216</v>
      </c>
      <c r="J214" s="1" t="s">
        <v>125</v>
      </c>
      <c r="K214" s="2" t="s">
        <v>66</v>
      </c>
      <c r="L214" s="1">
        <v>1</v>
      </c>
      <c r="M214" s="1" t="s">
        <v>126</v>
      </c>
      <c r="N214" s="1" t="s">
        <v>126</v>
      </c>
      <c r="O214" s="16">
        <v>46082</v>
      </c>
      <c r="P214" s="16">
        <v>46387</v>
      </c>
      <c r="Q214" s="17">
        <f t="shared" si="5"/>
        <v>10.166666666666666</v>
      </c>
      <c r="R214" s="1">
        <v>1</v>
      </c>
      <c r="S214" s="1">
        <v>1</v>
      </c>
      <c r="T214" s="6">
        <v>74374.577450980389</v>
      </c>
      <c r="U214" s="6">
        <v>86274.509843137261</v>
      </c>
      <c r="V214" s="6">
        <v>185936.44352941174</v>
      </c>
      <c r="W214" s="6">
        <v>215686.27449411765</v>
      </c>
      <c r="AA214" s="6">
        <v>16908.64</v>
      </c>
    </row>
    <row r="215" spans="1:27" x14ac:dyDescent="0.25">
      <c r="A215" s="30" t="s">
        <v>214</v>
      </c>
      <c r="B215" s="15" t="s">
        <v>122</v>
      </c>
      <c r="H215" s="1" t="s">
        <v>215</v>
      </c>
      <c r="I215" s="35" t="s">
        <v>216</v>
      </c>
      <c r="J215" s="1" t="s">
        <v>125</v>
      </c>
      <c r="K215" s="2" t="s">
        <v>77</v>
      </c>
      <c r="L215" s="1">
        <v>1</v>
      </c>
      <c r="M215" s="1" t="s">
        <v>126</v>
      </c>
      <c r="N215" s="1" t="s">
        <v>126</v>
      </c>
      <c r="O215" s="16">
        <v>46082</v>
      </c>
      <c r="P215" s="16">
        <v>46387</v>
      </c>
      <c r="Q215" s="17">
        <f t="shared" si="5"/>
        <v>10.166666666666666</v>
      </c>
      <c r="R215" s="1">
        <v>1</v>
      </c>
      <c r="S215" s="1">
        <v>1</v>
      </c>
      <c r="T215" s="6">
        <v>74374.577450980389</v>
      </c>
      <c r="U215" s="6">
        <v>86274.509843137261</v>
      </c>
      <c r="V215" s="6">
        <v>185936.44352941174</v>
      </c>
      <c r="W215" s="6">
        <v>215686.27449411765</v>
      </c>
      <c r="AA215" s="6">
        <v>14858.66</v>
      </c>
    </row>
    <row r="216" spans="1:27" x14ac:dyDescent="0.25">
      <c r="A216" s="30" t="s">
        <v>214</v>
      </c>
      <c r="B216" s="15" t="s">
        <v>122</v>
      </c>
      <c r="H216" s="1" t="s">
        <v>215</v>
      </c>
      <c r="I216" s="35" t="s">
        <v>216</v>
      </c>
      <c r="J216" s="1" t="s">
        <v>125</v>
      </c>
      <c r="K216" s="2" t="s">
        <v>80</v>
      </c>
      <c r="L216" s="1">
        <v>1</v>
      </c>
      <c r="M216" s="1" t="s">
        <v>126</v>
      </c>
      <c r="N216" s="1" t="s">
        <v>126</v>
      </c>
      <c r="O216" s="16">
        <v>46082</v>
      </c>
      <c r="P216" s="16">
        <v>46387</v>
      </c>
      <c r="Q216" s="17">
        <f t="shared" si="5"/>
        <v>10.166666666666666</v>
      </c>
      <c r="R216" s="1">
        <v>1</v>
      </c>
      <c r="S216" s="1">
        <v>1</v>
      </c>
      <c r="T216" s="6">
        <v>74374.577450980389</v>
      </c>
      <c r="U216" s="6">
        <v>86274.509843137261</v>
      </c>
      <c r="V216" s="6">
        <v>185936.44352941174</v>
      </c>
      <c r="W216" s="6">
        <v>215686.27449411765</v>
      </c>
      <c r="AA216" s="6">
        <v>15882.95</v>
      </c>
    </row>
    <row r="217" spans="1:27" x14ac:dyDescent="0.25">
      <c r="A217" s="30" t="s">
        <v>214</v>
      </c>
      <c r="B217" s="15" t="s">
        <v>122</v>
      </c>
      <c r="H217" s="1" t="s">
        <v>215</v>
      </c>
      <c r="I217" s="35" t="s">
        <v>216</v>
      </c>
      <c r="J217" s="1" t="s">
        <v>125</v>
      </c>
      <c r="K217" s="2" t="s">
        <v>69</v>
      </c>
      <c r="L217" s="1">
        <v>1</v>
      </c>
      <c r="M217" s="1" t="s">
        <v>126</v>
      </c>
      <c r="N217" s="1" t="s">
        <v>126</v>
      </c>
      <c r="O217" s="16">
        <v>46082</v>
      </c>
      <c r="P217" s="16">
        <v>46387</v>
      </c>
      <c r="Q217" s="17">
        <f t="shared" si="5"/>
        <v>10.166666666666666</v>
      </c>
      <c r="R217" s="1">
        <v>1</v>
      </c>
      <c r="S217" s="1">
        <v>1</v>
      </c>
      <c r="T217" s="6">
        <v>74374.577450980389</v>
      </c>
      <c r="U217" s="6">
        <v>86274.509843137261</v>
      </c>
      <c r="V217" s="6">
        <v>185936.44352941174</v>
      </c>
      <c r="W217" s="6">
        <v>215686.27449411765</v>
      </c>
      <c r="AA217" s="6">
        <v>15016.08</v>
      </c>
    </row>
    <row r="218" spans="1:27" x14ac:dyDescent="0.25">
      <c r="A218" s="5" t="s">
        <v>217</v>
      </c>
      <c r="B218" s="15" t="s">
        <v>86</v>
      </c>
      <c r="C218" s="1" t="s">
        <v>87</v>
      </c>
      <c r="H218" s="1" t="s">
        <v>218</v>
      </c>
      <c r="I218" s="35" t="s">
        <v>219</v>
      </c>
      <c r="J218" s="1">
        <v>1</v>
      </c>
      <c r="K218" s="2" t="s">
        <v>47</v>
      </c>
      <c r="L218" s="1">
        <v>10</v>
      </c>
      <c r="M218" s="1" t="s">
        <v>90</v>
      </c>
      <c r="N218" s="1" t="s">
        <v>90</v>
      </c>
      <c r="O218" s="16">
        <v>46082</v>
      </c>
      <c r="P218" s="16">
        <v>46387</v>
      </c>
      <c r="Q218" s="17">
        <v>10.166666666666666</v>
      </c>
      <c r="R218" s="1">
        <v>75</v>
      </c>
      <c r="S218" s="1">
        <v>110</v>
      </c>
      <c r="T218" s="6">
        <v>11109404</v>
      </c>
      <c r="U218" s="6">
        <v>12886908.640000001</v>
      </c>
      <c r="V218" s="6">
        <v>16306522.300000001</v>
      </c>
      <c r="W218" s="6">
        <v>18915565.868000001</v>
      </c>
      <c r="AA218" s="6" t="s">
        <v>220</v>
      </c>
    </row>
    <row r="219" spans="1:27" x14ac:dyDescent="0.25">
      <c r="A219" s="5" t="s">
        <v>221</v>
      </c>
      <c r="B219" s="15" t="s">
        <v>86</v>
      </c>
      <c r="C219" s="1" t="s">
        <v>87</v>
      </c>
      <c r="H219" s="1" t="s">
        <v>218</v>
      </c>
      <c r="I219" s="35" t="s">
        <v>219</v>
      </c>
      <c r="J219" s="1">
        <v>2</v>
      </c>
      <c r="K219" s="2" t="s">
        <v>70</v>
      </c>
      <c r="L219" s="1">
        <v>1</v>
      </c>
      <c r="M219" s="1" t="s">
        <v>90</v>
      </c>
      <c r="N219" s="1" t="s">
        <v>90</v>
      </c>
      <c r="O219" s="16">
        <v>46082</v>
      </c>
      <c r="P219" s="16">
        <v>46387</v>
      </c>
      <c r="Q219" s="17">
        <v>10.166666666666666</v>
      </c>
      <c r="R219" s="1">
        <v>1</v>
      </c>
      <c r="S219" s="1">
        <v>2</v>
      </c>
      <c r="T219" s="6">
        <v>151572.79999999999</v>
      </c>
      <c r="U219" s="6">
        <v>175824.44799999997</v>
      </c>
      <c r="V219" s="6">
        <v>303145.59999999998</v>
      </c>
      <c r="W219" s="6">
        <v>351648.89599999995</v>
      </c>
      <c r="Y219" s="20"/>
      <c r="AA219" s="6">
        <v>15157.28</v>
      </c>
    </row>
    <row r="220" spans="1:27" x14ac:dyDescent="0.25">
      <c r="A220" s="5" t="s">
        <v>222</v>
      </c>
      <c r="B220" s="15" t="s">
        <v>86</v>
      </c>
      <c r="C220" s="1" t="s">
        <v>87</v>
      </c>
      <c r="H220" s="1" t="s">
        <v>218</v>
      </c>
      <c r="I220" s="35" t="s">
        <v>219</v>
      </c>
      <c r="J220" s="1">
        <v>3</v>
      </c>
      <c r="K220" s="2" t="s">
        <v>72</v>
      </c>
      <c r="L220" s="1">
        <v>2</v>
      </c>
      <c r="M220" s="1" t="s">
        <v>90</v>
      </c>
      <c r="N220" s="1" t="s">
        <v>90</v>
      </c>
      <c r="O220" s="16">
        <v>46082</v>
      </c>
      <c r="P220" s="16">
        <v>46387</v>
      </c>
      <c r="Q220" s="17">
        <v>10.166666666666666</v>
      </c>
      <c r="R220" s="1">
        <v>2</v>
      </c>
      <c r="S220" s="1">
        <v>4</v>
      </c>
      <c r="T220" s="6">
        <v>345934.4</v>
      </c>
      <c r="U220" s="6">
        <v>401283.90400000004</v>
      </c>
      <c r="V220" s="6">
        <v>691868.8</v>
      </c>
      <c r="W220" s="6">
        <v>802567.80800000008</v>
      </c>
      <c r="AA220" s="6">
        <v>17296.72</v>
      </c>
    </row>
    <row r="221" spans="1:27" x14ac:dyDescent="0.25">
      <c r="A221" s="5" t="s">
        <v>223</v>
      </c>
      <c r="B221" s="15" t="s">
        <v>86</v>
      </c>
      <c r="C221" s="1" t="s">
        <v>87</v>
      </c>
      <c r="H221" s="1" t="s">
        <v>218</v>
      </c>
      <c r="I221" s="35" t="s">
        <v>219</v>
      </c>
      <c r="J221" s="1">
        <v>4</v>
      </c>
      <c r="K221" s="2" t="s">
        <v>73</v>
      </c>
      <c r="L221" s="1">
        <v>1</v>
      </c>
      <c r="M221" s="1" t="s">
        <v>90</v>
      </c>
      <c r="N221" s="1" t="s">
        <v>90</v>
      </c>
      <c r="O221" s="16">
        <v>46082</v>
      </c>
      <c r="P221" s="16">
        <v>46387</v>
      </c>
      <c r="Q221" s="17">
        <v>10.166666666666666</v>
      </c>
      <c r="R221" s="1">
        <v>1</v>
      </c>
      <c r="S221" s="1">
        <v>2</v>
      </c>
      <c r="T221" s="6">
        <v>174154.2</v>
      </c>
      <c r="U221" s="6">
        <v>202018.872</v>
      </c>
      <c r="V221" s="6">
        <v>348308.4</v>
      </c>
      <c r="W221" s="6">
        <v>404037.74400000001</v>
      </c>
      <c r="AA221" s="6">
        <v>17415.419999999998</v>
      </c>
    </row>
    <row r="222" spans="1:27" x14ac:dyDescent="0.25">
      <c r="A222" s="5" t="s">
        <v>224</v>
      </c>
      <c r="B222" s="15" t="s">
        <v>86</v>
      </c>
      <c r="C222" s="1" t="s">
        <v>87</v>
      </c>
      <c r="H222" s="1" t="s">
        <v>218</v>
      </c>
      <c r="I222" s="35" t="s">
        <v>219</v>
      </c>
      <c r="J222" s="1">
        <v>5</v>
      </c>
      <c r="K222" s="2" t="s">
        <v>83</v>
      </c>
      <c r="L222" s="1">
        <v>1</v>
      </c>
      <c r="M222" s="1" t="s">
        <v>90</v>
      </c>
      <c r="N222" s="1" t="s">
        <v>90</v>
      </c>
      <c r="O222" s="16">
        <v>46082</v>
      </c>
      <c r="P222" s="16">
        <v>46387</v>
      </c>
      <c r="Q222" s="17">
        <v>10.166666666666666</v>
      </c>
      <c r="R222" s="1">
        <v>1</v>
      </c>
      <c r="S222" s="1">
        <v>2</v>
      </c>
      <c r="T222" s="6">
        <v>161216.5</v>
      </c>
      <c r="U222" s="6">
        <v>187011.14</v>
      </c>
      <c r="V222" s="6">
        <v>322433</v>
      </c>
      <c r="W222" s="6">
        <v>374022.28</v>
      </c>
      <c r="AA222" s="6">
        <v>16121.65</v>
      </c>
    </row>
    <row r="223" spans="1:27" x14ac:dyDescent="0.25">
      <c r="A223" s="5" t="s">
        <v>225</v>
      </c>
      <c r="B223" s="15" t="s">
        <v>86</v>
      </c>
      <c r="C223" s="1" t="s">
        <v>87</v>
      </c>
      <c r="H223" s="1" t="s">
        <v>218</v>
      </c>
      <c r="I223" s="35" t="s">
        <v>219</v>
      </c>
      <c r="J223" s="1">
        <v>6</v>
      </c>
      <c r="K223" s="2" t="s">
        <v>67</v>
      </c>
      <c r="L223" s="1">
        <v>1</v>
      </c>
      <c r="M223" s="1" t="s">
        <v>90</v>
      </c>
      <c r="N223" s="1" t="s">
        <v>90</v>
      </c>
      <c r="O223" s="16">
        <v>46082</v>
      </c>
      <c r="P223" s="16">
        <v>46387</v>
      </c>
      <c r="Q223" s="17">
        <v>10.166666666666666</v>
      </c>
      <c r="R223" s="1">
        <v>1</v>
      </c>
      <c r="S223" s="1">
        <v>2</v>
      </c>
      <c r="T223" s="6">
        <v>170412.6</v>
      </c>
      <c r="U223" s="6">
        <v>197678.61600000001</v>
      </c>
      <c r="V223" s="6">
        <v>340828.2</v>
      </c>
      <c r="W223" s="6">
        <v>395360.712</v>
      </c>
      <c r="AA223" s="6">
        <v>17041.259999999998</v>
      </c>
    </row>
    <row r="224" spans="1:27" x14ac:dyDescent="0.25">
      <c r="A224" s="5" t="s">
        <v>226</v>
      </c>
      <c r="B224" s="15" t="s">
        <v>86</v>
      </c>
      <c r="C224" s="1" t="s">
        <v>87</v>
      </c>
      <c r="H224" s="1" t="s">
        <v>218</v>
      </c>
      <c r="I224" s="35" t="s">
        <v>219</v>
      </c>
      <c r="J224" s="1">
        <v>7</v>
      </c>
      <c r="K224" s="2" t="s">
        <v>60</v>
      </c>
      <c r="L224" s="1">
        <v>1</v>
      </c>
      <c r="M224" s="1" t="s">
        <v>90</v>
      </c>
      <c r="N224" s="1" t="s">
        <v>90</v>
      </c>
      <c r="O224" s="16">
        <v>46082</v>
      </c>
      <c r="P224" s="16">
        <v>46387</v>
      </c>
      <c r="Q224" s="17">
        <v>10.166666666666666</v>
      </c>
      <c r="R224" s="1">
        <v>1</v>
      </c>
      <c r="S224" s="1">
        <v>2</v>
      </c>
      <c r="T224" s="6">
        <v>153939.4</v>
      </c>
      <c r="U224" s="6">
        <v>178569.704</v>
      </c>
      <c r="V224" s="6">
        <v>307878.8</v>
      </c>
      <c r="W224" s="6">
        <v>357139.408</v>
      </c>
      <c r="AA224" s="6">
        <v>15393.94</v>
      </c>
    </row>
    <row r="225" spans="1:27" x14ac:dyDescent="0.25">
      <c r="A225" s="5" t="s">
        <v>227</v>
      </c>
      <c r="B225" s="15" t="s">
        <v>86</v>
      </c>
      <c r="C225" s="1" t="s">
        <v>87</v>
      </c>
      <c r="H225" s="1" t="s">
        <v>218</v>
      </c>
      <c r="I225" s="35" t="s">
        <v>219</v>
      </c>
      <c r="J225" s="1">
        <v>8</v>
      </c>
      <c r="K225" s="2" t="s">
        <v>81</v>
      </c>
      <c r="L225" s="1">
        <v>1</v>
      </c>
      <c r="M225" s="1" t="s">
        <v>90</v>
      </c>
      <c r="N225" s="1" t="s">
        <v>90</v>
      </c>
      <c r="O225" s="16">
        <v>46082</v>
      </c>
      <c r="P225" s="16">
        <v>46387</v>
      </c>
      <c r="Q225" s="17">
        <v>10.166666666666666</v>
      </c>
      <c r="R225" s="1">
        <v>1</v>
      </c>
      <c r="S225" s="1">
        <v>2</v>
      </c>
      <c r="T225" s="6">
        <v>155625.70000000001</v>
      </c>
      <c r="U225" s="6">
        <v>180525.81200000001</v>
      </c>
      <c r="V225" s="6">
        <v>311251.40000000002</v>
      </c>
      <c r="W225" s="6">
        <v>361051.62400000001</v>
      </c>
      <c r="AA225" s="6">
        <v>15562.57</v>
      </c>
    </row>
    <row r="226" spans="1:27" x14ac:dyDescent="0.25">
      <c r="A226" s="5" t="s">
        <v>228</v>
      </c>
      <c r="B226" s="15" t="s">
        <v>86</v>
      </c>
      <c r="C226" s="1" t="s">
        <v>87</v>
      </c>
      <c r="H226" s="1" t="s">
        <v>218</v>
      </c>
      <c r="I226" s="35" t="s">
        <v>219</v>
      </c>
      <c r="J226" s="1">
        <v>9</v>
      </c>
      <c r="K226" s="2" t="s">
        <v>75</v>
      </c>
      <c r="L226" s="1">
        <v>1</v>
      </c>
      <c r="M226" s="1" t="s">
        <v>90</v>
      </c>
      <c r="N226" s="1" t="s">
        <v>90</v>
      </c>
      <c r="O226" s="16">
        <v>46082</v>
      </c>
      <c r="P226" s="16">
        <v>46387</v>
      </c>
      <c r="Q226" s="17">
        <v>10.166666666666666</v>
      </c>
      <c r="R226" s="1">
        <v>1</v>
      </c>
      <c r="S226" s="1">
        <v>2</v>
      </c>
      <c r="T226" s="6">
        <v>170628</v>
      </c>
      <c r="U226" s="6">
        <v>197928.48</v>
      </c>
      <c r="V226" s="6">
        <v>341256</v>
      </c>
      <c r="W226" s="6">
        <v>395856.96</v>
      </c>
      <c r="AA226" s="6">
        <v>17062.8</v>
      </c>
    </row>
    <row r="227" spans="1:27" x14ac:dyDescent="0.25">
      <c r="A227" s="5" t="s">
        <v>229</v>
      </c>
      <c r="B227" s="15" t="s">
        <v>86</v>
      </c>
      <c r="C227" s="1" t="s">
        <v>87</v>
      </c>
      <c r="H227" s="1" t="s">
        <v>218</v>
      </c>
      <c r="I227" s="35" t="s">
        <v>219</v>
      </c>
      <c r="J227" s="1">
        <v>10</v>
      </c>
      <c r="K227" s="2" t="s">
        <v>75</v>
      </c>
      <c r="L227" s="1">
        <v>1</v>
      </c>
      <c r="M227" s="1" t="s">
        <v>90</v>
      </c>
      <c r="N227" s="1" t="s">
        <v>90</v>
      </c>
      <c r="O227" s="16">
        <v>46082</v>
      </c>
      <c r="P227" s="16">
        <v>46387</v>
      </c>
      <c r="Q227" s="17">
        <v>10.166666666666666</v>
      </c>
      <c r="R227" s="1">
        <v>1</v>
      </c>
      <c r="S227" s="1">
        <v>2</v>
      </c>
      <c r="T227" s="6">
        <v>170628</v>
      </c>
      <c r="U227" s="6">
        <v>197928.48</v>
      </c>
      <c r="V227" s="6">
        <v>341256</v>
      </c>
      <c r="W227" s="6">
        <v>395856.96</v>
      </c>
      <c r="AA227" s="6">
        <v>17062.8</v>
      </c>
    </row>
    <row r="228" spans="1:27" x14ac:dyDescent="0.25">
      <c r="A228" s="5" t="s">
        <v>230</v>
      </c>
      <c r="B228" s="15" t="s">
        <v>86</v>
      </c>
      <c r="C228" s="1" t="s">
        <v>87</v>
      </c>
      <c r="H228" s="1" t="s">
        <v>218</v>
      </c>
      <c r="I228" s="35" t="s">
        <v>219</v>
      </c>
      <c r="J228" s="1">
        <v>11</v>
      </c>
      <c r="K228" s="2" t="s">
        <v>76</v>
      </c>
      <c r="L228" s="1">
        <v>1</v>
      </c>
      <c r="M228" s="1" t="s">
        <v>90</v>
      </c>
      <c r="N228" s="1" t="s">
        <v>90</v>
      </c>
      <c r="O228" s="16">
        <v>46082</v>
      </c>
      <c r="P228" s="16">
        <v>46387</v>
      </c>
      <c r="Q228" s="17">
        <v>10.166666666666666</v>
      </c>
      <c r="R228" s="1">
        <v>1</v>
      </c>
      <c r="S228" s="1">
        <v>2</v>
      </c>
      <c r="T228" s="6">
        <v>160994.1</v>
      </c>
      <c r="U228" s="6">
        <v>186753.15600000002</v>
      </c>
      <c r="V228" s="6">
        <v>321988.2</v>
      </c>
      <c r="W228" s="6">
        <v>373506.31200000003</v>
      </c>
      <c r="AA228" s="6">
        <v>16099.41</v>
      </c>
    </row>
    <row r="229" spans="1:27" x14ac:dyDescent="0.25">
      <c r="A229" s="3" t="s">
        <v>231</v>
      </c>
      <c r="B229" s="15" t="s">
        <v>86</v>
      </c>
      <c r="C229" s="1" t="s">
        <v>87</v>
      </c>
      <c r="H229" s="1" t="s">
        <v>218</v>
      </c>
      <c r="I229" s="35" t="s">
        <v>219</v>
      </c>
      <c r="J229" s="1">
        <v>12</v>
      </c>
      <c r="K229" s="2" t="s">
        <v>62</v>
      </c>
      <c r="L229" s="1">
        <v>1</v>
      </c>
      <c r="M229" s="1" t="s">
        <v>90</v>
      </c>
      <c r="N229" s="1" t="s">
        <v>90</v>
      </c>
      <c r="O229" s="16">
        <v>46082</v>
      </c>
      <c r="P229" s="16">
        <v>46387</v>
      </c>
      <c r="Q229" s="17">
        <v>10.166666666666666</v>
      </c>
      <c r="R229" s="1">
        <v>1</v>
      </c>
      <c r="S229" s="1">
        <v>2</v>
      </c>
      <c r="T229" s="6">
        <v>150636.4</v>
      </c>
      <c r="U229" s="6">
        <v>174738.22399999999</v>
      </c>
      <c r="V229" s="6">
        <v>301272.8</v>
      </c>
      <c r="W229" s="6">
        <v>349476.44799999997</v>
      </c>
      <c r="AA229" s="6">
        <v>15063.64</v>
      </c>
    </row>
    <row r="230" spans="1:27" x14ac:dyDescent="0.25">
      <c r="A230" s="3" t="s">
        <v>232</v>
      </c>
      <c r="B230" s="15" t="s">
        <v>86</v>
      </c>
      <c r="C230" s="1" t="s">
        <v>87</v>
      </c>
      <c r="H230" s="1" t="s">
        <v>218</v>
      </c>
      <c r="I230" s="35" t="s">
        <v>219</v>
      </c>
      <c r="J230" s="1">
        <v>13</v>
      </c>
      <c r="K230" s="2" t="s">
        <v>62</v>
      </c>
      <c r="L230" s="1">
        <v>1</v>
      </c>
      <c r="M230" s="1" t="s">
        <v>90</v>
      </c>
      <c r="N230" s="1" t="s">
        <v>90</v>
      </c>
      <c r="O230" s="16">
        <v>46082</v>
      </c>
      <c r="P230" s="16">
        <v>46387</v>
      </c>
      <c r="Q230" s="17">
        <v>10.166666666666666</v>
      </c>
      <c r="R230" s="1">
        <v>1</v>
      </c>
      <c r="S230" s="1">
        <v>2</v>
      </c>
      <c r="T230" s="6">
        <v>150636.4</v>
      </c>
      <c r="U230" s="6">
        <v>174738.22399999999</v>
      </c>
      <c r="V230" s="6">
        <v>301272.8</v>
      </c>
      <c r="W230" s="6">
        <v>349476.44799999997</v>
      </c>
      <c r="AA230" s="6">
        <v>15063.64</v>
      </c>
    </row>
    <row r="231" spans="1:27" x14ac:dyDescent="0.25">
      <c r="A231" s="5" t="s">
        <v>233</v>
      </c>
      <c r="B231" s="15" t="s">
        <v>86</v>
      </c>
      <c r="C231" s="1" t="s">
        <v>87</v>
      </c>
      <c r="H231" s="1" t="s">
        <v>218</v>
      </c>
      <c r="I231" s="35" t="s">
        <v>219</v>
      </c>
      <c r="J231" s="1">
        <v>14</v>
      </c>
      <c r="K231" s="2" t="s">
        <v>64</v>
      </c>
      <c r="L231" s="1">
        <v>1</v>
      </c>
      <c r="M231" s="1" t="s">
        <v>90</v>
      </c>
      <c r="N231" s="1" t="s">
        <v>90</v>
      </c>
      <c r="O231" s="16">
        <v>46082</v>
      </c>
      <c r="P231" s="16">
        <v>46387</v>
      </c>
      <c r="Q231" s="17">
        <v>10.166666666666666</v>
      </c>
      <c r="R231" s="1">
        <v>1</v>
      </c>
      <c r="S231" s="1">
        <v>2</v>
      </c>
      <c r="T231" s="6">
        <v>151713.5</v>
      </c>
      <c r="U231" s="6">
        <v>175987.66</v>
      </c>
      <c r="V231" s="6">
        <v>303427</v>
      </c>
      <c r="W231" s="6">
        <v>351975.32</v>
      </c>
      <c r="AA231" s="6">
        <v>15171.35</v>
      </c>
    </row>
    <row r="232" spans="1:27" x14ac:dyDescent="0.25">
      <c r="A232" s="5" t="s">
        <v>234</v>
      </c>
      <c r="B232" s="15" t="s">
        <v>86</v>
      </c>
      <c r="C232" s="1" t="s">
        <v>87</v>
      </c>
      <c r="H232" s="1" t="s">
        <v>218</v>
      </c>
      <c r="I232" s="35" t="s">
        <v>219</v>
      </c>
      <c r="J232" s="1">
        <v>15</v>
      </c>
      <c r="K232" s="2" t="s">
        <v>57</v>
      </c>
      <c r="L232" s="1">
        <v>1</v>
      </c>
      <c r="M232" s="1" t="s">
        <v>90</v>
      </c>
      <c r="N232" s="1" t="s">
        <v>90</v>
      </c>
      <c r="O232" s="16">
        <v>46082</v>
      </c>
      <c r="P232" s="16">
        <v>46387</v>
      </c>
      <c r="Q232" s="17">
        <v>10.166666666666666</v>
      </c>
      <c r="R232" s="1">
        <v>1</v>
      </c>
      <c r="S232" s="1">
        <v>2</v>
      </c>
      <c r="T232" s="6">
        <v>149927.1</v>
      </c>
      <c r="U232" s="6">
        <v>173915.43600000002</v>
      </c>
      <c r="V232" s="6">
        <v>299854.2</v>
      </c>
      <c r="W232" s="6">
        <v>347830.87200000003</v>
      </c>
      <c r="AA232" s="6">
        <v>14992.71</v>
      </c>
    </row>
    <row r="233" spans="1:27" x14ac:dyDescent="0.25">
      <c r="A233" s="5" t="s">
        <v>235</v>
      </c>
      <c r="B233" s="15" t="s">
        <v>86</v>
      </c>
      <c r="C233" s="1" t="s">
        <v>87</v>
      </c>
      <c r="H233" s="1" t="s">
        <v>218</v>
      </c>
      <c r="I233" s="35" t="s">
        <v>219</v>
      </c>
      <c r="J233" s="1">
        <v>16</v>
      </c>
      <c r="K233" s="2" t="s">
        <v>60</v>
      </c>
      <c r="L233" s="1">
        <v>1</v>
      </c>
      <c r="M233" s="1" t="s">
        <v>90</v>
      </c>
      <c r="N233" s="1" t="s">
        <v>90</v>
      </c>
      <c r="O233" s="16">
        <v>46082</v>
      </c>
      <c r="P233" s="16">
        <v>46387</v>
      </c>
      <c r="Q233" s="17">
        <v>10.166666666666666</v>
      </c>
      <c r="R233" s="1">
        <v>1</v>
      </c>
      <c r="S233" s="1">
        <v>2</v>
      </c>
      <c r="T233" s="6">
        <v>153939.4</v>
      </c>
      <c r="U233" s="6">
        <v>178569.704</v>
      </c>
      <c r="V233" s="6">
        <v>307878.8</v>
      </c>
      <c r="W233" s="6">
        <v>357139.408</v>
      </c>
      <c r="AA233" s="6">
        <v>15393.94</v>
      </c>
    </row>
    <row r="234" spans="1:27" x14ac:dyDescent="0.25">
      <c r="A234" s="5" t="s">
        <v>236</v>
      </c>
      <c r="B234" s="15" t="s">
        <v>86</v>
      </c>
      <c r="C234" s="1" t="s">
        <v>87</v>
      </c>
      <c r="H234" s="1" t="s">
        <v>218</v>
      </c>
      <c r="I234" s="35" t="s">
        <v>219</v>
      </c>
      <c r="J234" s="1">
        <v>17</v>
      </c>
      <c r="K234" s="2" t="s">
        <v>56</v>
      </c>
      <c r="L234" s="1">
        <v>1</v>
      </c>
      <c r="M234" s="1" t="s">
        <v>90</v>
      </c>
      <c r="N234" s="1" t="s">
        <v>90</v>
      </c>
      <c r="O234" s="16">
        <v>46082</v>
      </c>
      <c r="P234" s="16">
        <v>46387</v>
      </c>
      <c r="Q234" s="17">
        <v>10.166666666666666</v>
      </c>
      <c r="R234" s="1">
        <v>1</v>
      </c>
      <c r="S234" s="1">
        <v>2</v>
      </c>
      <c r="T234" s="6">
        <v>147303.70000000001</v>
      </c>
      <c r="U234" s="6">
        <v>170872.29200000002</v>
      </c>
      <c r="V234" s="6">
        <v>294607.40000000002</v>
      </c>
      <c r="W234" s="6">
        <v>341744.58400000003</v>
      </c>
      <c r="AA234" s="6">
        <v>14730.37</v>
      </c>
    </row>
    <row r="235" spans="1:27" x14ac:dyDescent="0.25">
      <c r="A235" s="5" t="s">
        <v>237</v>
      </c>
      <c r="B235" s="15" t="s">
        <v>86</v>
      </c>
      <c r="C235" s="1" t="s">
        <v>87</v>
      </c>
      <c r="H235" s="1" t="s">
        <v>218</v>
      </c>
      <c r="I235" s="35" t="s">
        <v>219</v>
      </c>
      <c r="J235" s="1">
        <v>18</v>
      </c>
      <c r="K235" s="2" t="s">
        <v>63</v>
      </c>
      <c r="L235" s="1">
        <v>2</v>
      </c>
      <c r="M235" s="1" t="s">
        <v>90</v>
      </c>
      <c r="N235" s="1" t="s">
        <v>90</v>
      </c>
      <c r="O235" s="16">
        <v>46082</v>
      </c>
      <c r="P235" s="16">
        <v>46387</v>
      </c>
      <c r="Q235" s="17">
        <v>10.166666666666666</v>
      </c>
      <c r="R235" s="1">
        <v>2</v>
      </c>
      <c r="S235" s="1">
        <v>4</v>
      </c>
      <c r="T235" s="6">
        <v>301904.40000000002</v>
      </c>
      <c r="U235" s="6">
        <v>350209.10400000005</v>
      </c>
      <c r="V235" s="6">
        <v>603808.80000000005</v>
      </c>
      <c r="W235" s="6">
        <v>700418.2080000001</v>
      </c>
      <c r="AA235" s="6">
        <v>15095.22</v>
      </c>
    </row>
    <row r="236" spans="1:27" x14ac:dyDescent="0.25">
      <c r="A236" s="5" t="s">
        <v>238</v>
      </c>
      <c r="B236" s="15" t="s">
        <v>86</v>
      </c>
      <c r="C236" s="1" t="s">
        <v>87</v>
      </c>
      <c r="H236" s="1" t="s">
        <v>218</v>
      </c>
      <c r="I236" s="35" t="s">
        <v>219</v>
      </c>
      <c r="J236" s="1">
        <v>19</v>
      </c>
      <c r="K236" s="2" t="s">
        <v>58</v>
      </c>
      <c r="L236" s="1">
        <v>1</v>
      </c>
      <c r="M236" s="1" t="s">
        <v>90</v>
      </c>
      <c r="N236" s="1" t="s">
        <v>90</v>
      </c>
      <c r="O236" s="16">
        <v>46082</v>
      </c>
      <c r="P236" s="16">
        <v>46387</v>
      </c>
      <c r="Q236" s="17">
        <v>10.166666666666666</v>
      </c>
      <c r="R236" s="1">
        <v>1</v>
      </c>
      <c r="S236" s="1">
        <v>2</v>
      </c>
      <c r="T236" s="6">
        <v>153661.79999999999</v>
      </c>
      <c r="U236" s="6">
        <v>178247.68799999999</v>
      </c>
      <c r="V236" s="6">
        <v>307323.59999999998</v>
      </c>
      <c r="W236" s="6">
        <v>356495.37599999999</v>
      </c>
      <c r="AA236" s="6">
        <v>15366.18</v>
      </c>
    </row>
    <row r="237" spans="1:27" x14ac:dyDescent="0.25">
      <c r="A237" s="5" t="s">
        <v>239</v>
      </c>
      <c r="B237" s="15" t="s">
        <v>86</v>
      </c>
      <c r="C237" s="1" t="s">
        <v>87</v>
      </c>
      <c r="H237" s="1" t="s">
        <v>218</v>
      </c>
      <c r="I237" s="35" t="s">
        <v>219</v>
      </c>
      <c r="J237" s="1">
        <v>20</v>
      </c>
      <c r="K237" s="2" t="s">
        <v>65</v>
      </c>
      <c r="L237" s="1">
        <v>1</v>
      </c>
      <c r="M237" s="1" t="s">
        <v>90</v>
      </c>
      <c r="N237" s="1" t="s">
        <v>90</v>
      </c>
      <c r="O237" s="16">
        <v>46082</v>
      </c>
      <c r="P237" s="16">
        <v>46387</v>
      </c>
      <c r="Q237" s="17">
        <v>10.166666666666666</v>
      </c>
      <c r="R237" s="1">
        <v>1</v>
      </c>
      <c r="S237" s="1">
        <v>2</v>
      </c>
      <c r="T237" s="6">
        <v>151542.20000000001</v>
      </c>
      <c r="U237" s="6">
        <v>175788.95200000002</v>
      </c>
      <c r="V237" s="6">
        <v>303084.40000000002</v>
      </c>
      <c r="W237" s="6">
        <v>351577.90400000004</v>
      </c>
      <c r="AA237" s="6">
        <v>15154.22</v>
      </c>
    </row>
    <row r="238" spans="1:27" x14ac:dyDescent="0.25">
      <c r="A238" s="5" t="s">
        <v>240</v>
      </c>
      <c r="B238" s="15" t="s">
        <v>86</v>
      </c>
      <c r="C238" s="1" t="s">
        <v>87</v>
      </c>
      <c r="H238" s="1" t="s">
        <v>218</v>
      </c>
      <c r="I238" s="35" t="s">
        <v>219</v>
      </c>
      <c r="J238" s="1">
        <v>21</v>
      </c>
      <c r="K238" s="2" t="s">
        <v>49</v>
      </c>
      <c r="L238" s="1">
        <v>1</v>
      </c>
      <c r="M238" s="1" t="s">
        <v>90</v>
      </c>
      <c r="N238" s="1" t="s">
        <v>90</v>
      </c>
      <c r="O238" s="16">
        <v>46082</v>
      </c>
      <c r="P238" s="16">
        <v>46387</v>
      </c>
      <c r="Q238" s="17">
        <v>10.166666666666666</v>
      </c>
      <c r="R238" s="1">
        <v>2</v>
      </c>
      <c r="S238" s="1">
        <v>3</v>
      </c>
      <c r="T238" s="6">
        <v>337505</v>
      </c>
      <c r="U238" s="6">
        <v>391505.8</v>
      </c>
      <c r="V238" s="6">
        <v>506257.5</v>
      </c>
      <c r="W238" s="6">
        <v>587258.69999999995</v>
      </c>
      <c r="AA238" s="6">
        <v>16875.25</v>
      </c>
    </row>
    <row r="239" spans="1:27" x14ac:dyDescent="0.25">
      <c r="A239" s="5" t="s">
        <v>241</v>
      </c>
      <c r="B239" s="15" t="s">
        <v>86</v>
      </c>
      <c r="C239" s="1" t="s">
        <v>87</v>
      </c>
      <c r="H239" s="1" t="s">
        <v>218</v>
      </c>
      <c r="I239" s="35" t="s">
        <v>219</v>
      </c>
      <c r="J239" s="1">
        <v>22</v>
      </c>
      <c r="K239" s="2" t="s">
        <v>79</v>
      </c>
      <c r="L239" s="1">
        <v>1</v>
      </c>
      <c r="M239" s="1" t="s">
        <v>90</v>
      </c>
      <c r="N239" s="1" t="s">
        <v>90</v>
      </c>
      <c r="O239" s="16">
        <v>46082</v>
      </c>
      <c r="P239" s="16">
        <v>46387</v>
      </c>
      <c r="Q239" s="17">
        <v>10.166666666666666</v>
      </c>
      <c r="R239" s="1">
        <v>1</v>
      </c>
      <c r="S239" s="1">
        <v>2</v>
      </c>
      <c r="T239" s="6">
        <v>152394.79999999999</v>
      </c>
      <c r="U239" s="6">
        <v>176777.96799999999</v>
      </c>
      <c r="V239" s="6">
        <v>304789.59999999998</v>
      </c>
      <c r="W239" s="6">
        <v>353555.93599999999</v>
      </c>
      <c r="AA239" s="6">
        <v>15239.48</v>
      </c>
    </row>
    <row r="240" spans="1:27" x14ac:dyDescent="0.25">
      <c r="A240" s="5" t="s">
        <v>242</v>
      </c>
      <c r="B240" s="15" t="s">
        <v>86</v>
      </c>
      <c r="C240" s="1" t="s">
        <v>87</v>
      </c>
      <c r="H240" s="1" t="s">
        <v>218</v>
      </c>
      <c r="I240" s="35" t="s">
        <v>219</v>
      </c>
      <c r="J240" s="1">
        <v>23</v>
      </c>
      <c r="K240" s="2" t="s">
        <v>78</v>
      </c>
      <c r="L240" s="1">
        <v>1</v>
      </c>
      <c r="M240" s="1" t="s">
        <v>90</v>
      </c>
      <c r="N240" s="1" t="s">
        <v>90</v>
      </c>
      <c r="O240" s="16">
        <v>46082</v>
      </c>
      <c r="P240" s="16">
        <v>46387</v>
      </c>
      <c r="Q240" s="17">
        <v>10.166666666666666</v>
      </c>
      <c r="R240" s="1">
        <v>1</v>
      </c>
      <c r="S240" s="1">
        <v>2</v>
      </c>
      <c r="T240" s="6">
        <v>147555.79999999999</v>
      </c>
      <c r="U240" s="6">
        <v>171164.728</v>
      </c>
      <c r="V240" s="6">
        <v>295111.59999999998</v>
      </c>
      <c r="W240" s="6">
        <v>342329.45600000001</v>
      </c>
      <c r="AA240" s="6">
        <v>14755.58</v>
      </c>
    </row>
    <row r="241" spans="1:27" x14ac:dyDescent="0.25">
      <c r="A241" s="5" t="s">
        <v>243</v>
      </c>
      <c r="B241" s="15" t="s">
        <v>86</v>
      </c>
      <c r="C241" s="1" t="s">
        <v>87</v>
      </c>
      <c r="H241" s="1" t="s">
        <v>218</v>
      </c>
      <c r="I241" s="35" t="s">
        <v>219</v>
      </c>
      <c r="J241" s="1">
        <v>24</v>
      </c>
      <c r="K241" s="2" t="s">
        <v>50</v>
      </c>
      <c r="L241" s="1">
        <v>1</v>
      </c>
      <c r="M241" s="1" t="s">
        <v>90</v>
      </c>
      <c r="N241" s="1" t="s">
        <v>90</v>
      </c>
      <c r="O241" s="16">
        <v>46082</v>
      </c>
      <c r="P241" s="16">
        <v>46387</v>
      </c>
      <c r="Q241" s="17">
        <v>10.166666666666666</v>
      </c>
      <c r="R241" s="1">
        <v>2</v>
      </c>
      <c r="S241" s="1">
        <v>3</v>
      </c>
      <c r="T241" s="6">
        <v>314662.2</v>
      </c>
      <c r="U241" s="6">
        <v>365008.152</v>
      </c>
      <c r="V241" s="6">
        <v>471993.3</v>
      </c>
      <c r="W241" s="6">
        <v>547512.228</v>
      </c>
      <c r="AA241" s="6">
        <v>15733.11</v>
      </c>
    </row>
    <row r="242" spans="1:27" x14ac:dyDescent="0.25">
      <c r="A242" s="5" t="s">
        <v>244</v>
      </c>
      <c r="B242" s="15" t="s">
        <v>86</v>
      </c>
      <c r="C242" s="1" t="s">
        <v>87</v>
      </c>
      <c r="H242" s="1" t="s">
        <v>218</v>
      </c>
      <c r="I242" s="35" t="s">
        <v>219</v>
      </c>
      <c r="J242" s="1">
        <v>25</v>
      </c>
      <c r="K242" s="2" t="s">
        <v>82</v>
      </c>
      <c r="L242" s="1">
        <v>1</v>
      </c>
      <c r="M242" s="1" t="s">
        <v>90</v>
      </c>
      <c r="N242" s="1" t="s">
        <v>90</v>
      </c>
      <c r="O242" s="16">
        <v>46082</v>
      </c>
      <c r="P242" s="16">
        <v>46387</v>
      </c>
      <c r="Q242" s="17">
        <v>10.166666666666666</v>
      </c>
      <c r="R242" s="1">
        <v>1</v>
      </c>
      <c r="S242" s="1">
        <v>2</v>
      </c>
      <c r="T242" s="6">
        <v>171224.5</v>
      </c>
      <c r="U242" s="6">
        <v>198620.42</v>
      </c>
      <c r="V242" s="6">
        <v>342449</v>
      </c>
      <c r="W242" s="6">
        <v>397240.84</v>
      </c>
      <c r="AA242" s="6">
        <v>17122.45</v>
      </c>
    </row>
    <row r="243" spans="1:27" x14ac:dyDescent="0.25">
      <c r="A243" s="5" t="s">
        <v>245</v>
      </c>
      <c r="B243" s="15" t="s">
        <v>86</v>
      </c>
      <c r="C243" s="1" t="s">
        <v>87</v>
      </c>
      <c r="H243" s="1" t="s">
        <v>218</v>
      </c>
      <c r="I243" s="35" t="s">
        <v>219</v>
      </c>
      <c r="J243" s="1">
        <v>26</v>
      </c>
      <c r="K243" s="2" t="s">
        <v>68</v>
      </c>
      <c r="L243" s="1">
        <v>1</v>
      </c>
      <c r="M243" s="1" t="s">
        <v>90</v>
      </c>
      <c r="N243" s="1" t="s">
        <v>90</v>
      </c>
      <c r="O243" s="16">
        <v>46082</v>
      </c>
      <c r="P243" s="16">
        <v>46387</v>
      </c>
      <c r="Q243" s="17">
        <v>10.166666666666666</v>
      </c>
      <c r="R243" s="1">
        <v>1</v>
      </c>
      <c r="S243" s="1">
        <v>2</v>
      </c>
      <c r="T243" s="6">
        <v>152038.5</v>
      </c>
      <c r="U243" s="6">
        <v>176364.66</v>
      </c>
      <c r="V243" s="6">
        <v>304077</v>
      </c>
      <c r="W243" s="6">
        <v>352729.32</v>
      </c>
      <c r="AA243" s="6">
        <v>15203.85</v>
      </c>
    </row>
    <row r="244" spans="1:27" x14ac:dyDescent="0.25">
      <c r="A244" s="5" t="s">
        <v>246</v>
      </c>
      <c r="B244" s="15" t="s">
        <v>86</v>
      </c>
      <c r="C244" s="1" t="s">
        <v>87</v>
      </c>
      <c r="H244" s="1" t="s">
        <v>218</v>
      </c>
      <c r="I244" s="35" t="s">
        <v>219</v>
      </c>
      <c r="J244" s="1">
        <v>27</v>
      </c>
      <c r="K244" s="2" t="s">
        <v>74</v>
      </c>
      <c r="L244" s="1">
        <v>3</v>
      </c>
      <c r="M244" s="1" t="s">
        <v>90</v>
      </c>
      <c r="N244" s="1" t="s">
        <v>90</v>
      </c>
      <c r="O244" s="16">
        <v>46082</v>
      </c>
      <c r="P244" s="16">
        <v>46387</v>
      </c>
      <c r="Q244" s="17">
        <v>10.166666666666666</v>
      </c>
      <c r="R244" s="1">
        <v>3</v>
      </c>
      <c r="S244" s="1">
        <v>6</v>
      </c>
      <c r="T244" s="6">
        <v>468286.8</v>
      </c>
      <c r="U244" s="6">
        <v>543212.68799999997</v>
      </c>
      <c r="V244" s="6">
        <v>936573.6</v>
      </c>
      <c r="W244" s="6">
        <v>1086425.3759999999</v>
      </c>
      <c r="AA244" s="6">
        <v>15609.56</v>
      </c>
    </row>
    <row r="245" spans="1:27" x14ac:dyDescent="0.25">
      <c r="A245" s="5" t="s">
        <v>247</v>
      </c>
      <c r="B245" s="15" t="s">
        <v>86</v>
      </c>
      <c r="C245" s="1" t="s">
        <v>87</v>
      </c>
      <c r="H245" s="1" t="s">
        <v>218</v>
      </c>
      <c r="I245" s="35" t="s">
        <v>219</v>
      </c>
      <c r="J245" s="1">
        <v>28</v>
      </c>
      <c r="K245" s="2" t="s">
        <v>71</v>
      </c>
      <c r="L245" s="1">
        <v>1</v>
      </c>
      <c r="M245" s="1" t="s">
        <v>90</v>
      </c>
      <c r="N245" s="1" t="s">
        <v>90</v>
      </c>
      <c r="O245" s="16">
        <v>46082</v>
      </c>
      <c r="P245" s="16">
        <v>46387</v>
      </c>
      <c r="Q245" s="17">
        <v>10.166666666666666</v>
      </c>
      <c r="R245" s="1">
        <v>1</v>
      </c>
      <c r="S245" s="1">
        <v>2</v>
      </c>
      <c r="T245" s="6">
        <v>167477.9</v>
      </c>
      <c r="U245" s="6">
        <v>194274.364</v>
      </c>
      <c r="V245" s="6">
        <v>334955.8</v>
      </c>
      <c r="W245" s="6">
        <v>388548.728</v>
      </c>
      <c r="AA245" s="6">
        <v>16747.79</v>
      </c>
    </row>
    <row r="246" spans="1:27" x14ac:dyDescent="0.25">
      <c r="A246" s="5" t="s">
        <v>248</v>
      </c>
      <c r="B246" s="15" t="s">
        <v>86</v>
      </c>
      <c r="C246" s="1" t="s">
        <v>87</v>
      </c>
      <c r="H246" s="1" t="s">
        <v>218</v>
      </c>
      <c r="I246" s="35" t="s">
        <v>219</v>
      </c>
      <c r="J246" s="1">
        <v>29</v>
      </c>
      <c r="K246" s="2" t="s">
        <v>84</v>
      </c>
      <c r="L246" s="1">
        <v>1</v>
      </c>
      <c r="M246" s="1" t="s">
        <v>90</v>
      </c>
      <c r="N246" s="1" t="s">
        <v>90</v>
      </c>
      <c r="O246" s="16">
        <v>46082</v>
      </c>
      <c r="P246" s="16">
        <v>46387</v>
      </c>
      <c r="Q246" s="17">
        <v>10.166666666666666</v>
      </c>
      <c r="R246" s="1">
        <v>1</v>
      </c>
      <c r="S246" s="1">
        <v>2</v>
      </c>
      <c r="T246" s="6">
        <v>155373.4</v>
      </c>
      <c r="U246" s="6">
        <v>180233.144</v>
      </c>
      <c r="V246" s="6">
        <v>310746.8</v>
      </c>
      <c r="W246" s="6">
        <v>360466.288</v>
      </c>
      <c r="AA246" s="6">
        <v>15537.34</v>
      </c>
    </row>
    <row r="247" spans="1:27" x14ac:dyDescent="0.25">
      <c r="A247" s="5" t="s">
        <v>249</v>
      </c>
      <c r="B247" s="15" t="s">
        <v>86</v>
      </c>
      <c r="C247" s="1" t="s">
        <v>87</v>
      </c>
      <c r="H247" s="1" t="s">
        <v>218</v>
      </c>
      <c r="I247" s="35" t="s">
        <v>219</v>
      </c>
      <c r="J247" s="1">
        <v>30</v>
      </c>
      <c r="K247" s="2" t="s">
        <v>66</v>
      </c>
      <c r="L247" s="1">
        <v>1</v>
      </c>
      <c r="M247" s="1" t="s">
        <v>90</v>
      </c>
      <c r="N247" s="1" t="s">
        <v>90</v>
      </c>
      <c r="O247" s="16">
        <v>46082</v>
      </c>
      <c r="P247" s="16">
        <v>46387</v>
      </c>
      <c r="Q247" s="17">
        <v>10.166666666666666</v>
      </c>
      <c r="R247" s="1">
        <v>1</v>
      </c>
      <c r="S247" s="1">
        <v>2</v>
      </c>
      <c r="T247" s="6">
        <v>170076.4</v>
      </c>
      <c r="U247" s="6">
        <v>197288.62399999998</v>
      </c>
      <c r="V247" s="6">
        <v>340152.8</v>
      </c>
      <c r="W247" s="6">
        <v>394577.24799999996</v>
      </c>
      <c r="AA247" s="6">
        <v>17007.64</v>
      </c>
    </row>
    <row r="248" spans="1:27" x14ac:dyDescent="0.25">
      <c r="A248" s="5" t="s">
        <v>250</v>
      </c>
      <c r="B248" s="15" t="s">
        <v>86</v>
      </c>
      <c r="C248" s="1" t="s">
        <v>87</v>
      </c>
      <c r="H248" s="1" t="s">
        <v>218</v>
      </c>
      <c r="I248" s="35" t="s">
        <v>219</v>
      </c>
      <c r="J248" s="1">
        <v>31</v>
      </c>
      <c r="K248" s="2" t="s">
        <v>66</v>
      </c>
      <c r="L248" s="1">
        <v>1</v>
      </c>
      <c r="M248" s="1" t="s">
        <v>90</v>
      </c>
      <c r="N248" s="1" t="s">
        <v>90</v>
      </c>
      <c r="O248" s="16">
        <v>46082</v>
      </c>
      <c r="P248" s="16">
        <v>46387</v>
      </c>
      <c r="Q248" s="17">
        <v>10.166666666666666</v>
      </c>
      <c r="R248" s="1">
        <v>1</v>
      </c>
      <c r="S248" s="1">
        <v>2</v>
      </c>
      <c r="T248" s="6">
        <v>170076.4</v>
      </c>
      <c r="U248" s="6">
        <v>197288.62399999998</v>
      </c>
      <c r="V248" s="6">
        <v>340152.8</v>
      </c>
      <c r="W248" s="6">
        <v>394577.24799999996</v>
      </c>
      <c r="AA248" s="6">
        <v>17007.64</v>
      </c>
    </row>
    <row r="249" spans="1:27" x14ac:dyDescent="0.25">
      <c r="A249" s="5" t="s">
        <v>251</v>
      </c>
      <c r="B249" s="15" t="s">
        <v>86</v>
      </c>
      <c r="C249" s="1" t="s">
        <v>87</v>
      </c>
      <c r="H249" s="1" t="s">
        <v>218</v>
      </c>
      <c r="I249" s="35" t="s">
        <v>219</v>
      </c>
      <c r="J249" s="1">
        <v>32</v>
      </c>
      <c r="K249" s="2" t="s">
        <v>77</v>
      </c>
      <c r="L249" s="1">
        <v>1</v>
      </c>
      <c r="M249" s="1" t="s">
        <v>90</v>
      </c>
      <c r="N249" s="1" t="s">
        <v>90</v>
      </c>
      <c r="O249" s="16">
        <v>46082</v>
      </c>
      <c r="P249" s="16">
        <v>46387</v>
      </c>
      <c r="Q249" s="17">
        <v>10.166666666666666</v>
      </c>
      <c r="R249" s="1">
        <v>1</v>
      </c>
      <c r="S249" s="1">
        <v>2</v>
      </c>
      <c r="T249" s="6">
        <v>149576.6</v>
      </c>
      <c r="U249" s="6">
        <v>173508.856</v>
      </c>
      <c r="V249" s="6">
        <v>299153.2</v>
      </c>
      <c r="W249" s="6">
        <v>347017.712</v>
      </c>
      <c r="AA249" s="6">
        <v>14957.66</v>
      </c>
    </row>
    <row r="250" spans="1:27" x14ac:dyDescent="0.25">
      <c r="A250" s="5" t="s">
        <v>252</v>
      </c>
      <c r="B250" s="15" t="s">
        <v>86</v>
      </c>
      <c r="C250" s="1" t="s">
        <v>87</v>
      </c>
      <c r="H250" s="1" t="s">
        <v>218</v>
      </c>
      <c r="I250" s="35" t="s">
        <v>219</v>
      </c>
      <c r="J250" s="1">
        <v>33</v>
      </c>
      <c r="K250" s="2" t="s">
        <v>80</v>
      </c>
      <c r="L250" s="1">
        <v>1</v>
      </c>
      <c r="M250" s="1" t="s">
        <v>90</v>
      </c>
      <c r="N250" s="1" t="s">
        <v>90</v>
      </c>
      <c r="O250" s="16">
        <v>46082</v>
      </c>
      <c r="P250" s="16">
        <v>46387</v>
      </c>
      <c r="Q250" s="17">
        <v>10.166666666666666</v>
      </c>
      <c r="R250" s="1">
        <v>2</v>
      </c>
      <c r="S250" s="1">
        <v>3</v>
      </c>
      <c r="T250" s="6">
        <v>319639</v>
      </c>
      <c r="U250" s="6">
        <v>370781.24</v>
      </c>
      <c r="V250" s="6">
        <v>479458.5</v>
      </c>
      <c r="W250" s="6">
        <v>556171.86</v>
      </c>
      <c r="AA250" s="6">
        <v>15981.95</v>
      </c>
    </row>
    <row r="251" spans="1:27" x14ac:dyDescent="0.25">
      <c r="A251" s="5" t="s">
        <v>253</v>
      </c>
      <c r="B251" s="15" t="s">
        <v>86</v>
      </c>
      <c r="C251" s="1" t="s">
        <v>87</v>
      </c>
      <c r="H251" s="1" t="s">
        <v>218</v>
      </c>
      <c r="I251" s="35" t="s">
        <v>219</v>
      </c>
      <c r="J251" s="1">
        <v>34</v>
      </c>
      <c r="K251" s="2" t="s">
        <v>69</v>
      </c>
      <c r="L251" s="1">
        <v>1</v>
      </c>
      <c r="M251" s="1" t="s">
        <v>90</v>
      </c>
      <c r="N251" s="1" t="s">
        <v>90</v>
      </c>
      <c r="O251" s="16">
        <v>46082</v>
      </c>
      <c r="P251" s="16">
        <v>46387</v>
      </c>
      <c r="Q251" s="17">
        <v>10.166666666666666</v>
      </c>
      <c r="R251" s="1">
        <v>1</v>
      </c>
      <c r="S251" s="1">
        <v>2</v>
      </c>
      <c r="T251" s="6">
        <v>151150.79999999999</v>
      </c>
      <c r="U251" s="6">
        <v>175334.92799999999</v>
      </c>
      <c r="V251" s="6">
        <v>302301.59999999998</v>
      </c>
      <c r="W251" s="6">
        <v>350669.85599999997</v>
      </c>
      <c r="AA251" s="6">
        <v>15115.08</v>
      </c>
    </row>
    <row r="252" spans="1:27" x14ac:dyDescent="0.25">
      <c r="A252" s="5" t="s">
        <v>254</v>
      </c>
      <c r="B252" s="15" t="s">
        <v>255</v>
      </c>
      <c r="H252" s="1" t="s">
        <v>256</v>
      </c>
      <c r="I252" s="35" t="s">
        <v>257</v>
      </c>
      <c r="J252" s="1" t="s">
        <v>125</v>
      </c>
      <c r="K252" s="2" t="s">
        <v>47</v>
      </c>
      <c r="L252" s="1">
        <v>6</v>
      </c>
      <c r="M252" s="1" t="s">
        <v>202</v>
      </c>
      <c r="N252" s="1" t="s">
        <v>202</v>
      </c>
      <c r="O252" s="16">
        <v>46082</v>
      </c>
      <c r="P252" s="16">
        <v>46387</v>
      </c>
      <c r="Q252" s="17">
        <v>10.166666666666666</v>
      </c>
      <c r="R252" s="1">
        <v>159</v>
      </c>
      <c r="S252" s="1">
        <v>159</v>
      </c>
      <c r="T252" s="32">
        <v>7800227.7199999997</v>
      </c>
      <c r="U252" s="32">
        <v>9048264.1500000004</v>
      </c>
      <c r="V252" s="32">
        <v>19500569.289999999</v>
      </c>
      <c r="W252" s="32">
        <v>22620660.379999999</v>
      </c>
      <c r="X252" s="6"/>
      <c r="Y252" s="6"/>
      <c r="AA252" s="6" t="s">
        <v>258</v>
      </c>
    </row>
    <row r="253" spans="1:27" x14ac:dyDescent="0.25">
      <c r="A253" s="5" t="s">
        <v>259</v>
      </c>
      <c r="B253" s="15" t="s">
        <v>44</v>
      </c>
      <c r="H253" s="1" t="s">
        <v>260</v>
      </c>
      <c r="I253" s="35" t="s">
        <v>261</v>
      </c>
      <c r="J253" s="1" t="s">
        <v>125</v>
      </c>
      <c r="K253" t="s">
        <v>47</v>
      </c>
      <c r="L253" s="1">
        <v>24</v>
      </c>
      <c r="M253" s="1" t="s">
        <v>48</v>
      </c>
      <c r="N253" s="1" t="s">
        <v>48</v>
      </c>
      <c r="O253" s="16">
        <v>46024</v>
      </c>
      <c r="P253" s="16">
        <v>46387</v>
      </c>
      <c r="Q253" s="17">
        <v>12.1</v>
      </c>
      <c r="R253" s="1">
        <v>70</v>
      </c>
      <c r="S253" s="1">
        <v>70</v>
      </c>
      <c r="T253" s="6">
        <v>500000</v>
      </c>
      <c r="U253" s="18">
        <f>(T253*0.16)+T253</f>
        <v>580000</v>
      </c>
      <c r="V253" s="6">
        <v>5000000</v>
      </c>
      <c r="W253" s="18">
        <f>(V253*0.16)+V253</f>
        <v>5800000</v>
      </c>
      <c r="AA253" s="6">
        <v>22170</v>
      </c>
    </row>
    <row r="254" spans="1:27" x14ac:dyDescent="0.25">
      <c r="A254" s="30" t="s">
        <v>262</v>
      </c>
      <c r="B254" s="15" t="s">
        <v>122</v>
      </c>
      <c r="H254" s="1" t="s">
        <v>263</v>
      </c>
      <c r="I254" s="35" t="s">
        <v>264</v>
      </c>
      <c r="J254" s="1">
        <v>1</v>
      </c>
      <c r="K254" s="2" t="s">
        <v>47</v>
      </c>
      <c r="L254" s="1">
        <v>38</v>
      </c>
      <c r="M254" s="1" t="s">
        <v>126</v>
      </c>
      <c r="N254" s="1" t="s">
        <v>126</v>
      </c>
      <c r="O254" s="16">
        <v>46113</v>
      </c>
      <c r="P254" s="16">
        <v>46387</v>
      </c>
      <c r="Q254" s="17">
        <f>(P254-O254)/30</f>
        <v>9.1333333333333329</v>
      </c>
      <c r="R254" s="1">
        <v>35</v>
      </c>
      <c r="S254" s="1">
        <v>90</v>
      </c>
      <c r="T254" s="6">
        <f>(U254*100%)/116%</f>
        <v>129310.34482758622</v>
      </c>
      <c r="U254" s="6">
        <v>150000</v>
      </c>
      <c r="V254" s="6">
        <f>(W254*100%)/116%</f>
        <v>1616379.3103448276</v>
      </c>
      <c r="W254" s="6">
        <v>1875000</v>
      </c>
      <c r="Y254" s="37"/>
      <c r="AA254" s="6">
        <v>23992.5</v>
      </c>
    </row>
    <row r="255" spans="1:27" x14ac:dyDescent="0.25">
      <c r="A255" s="30" t="s">
        <v>265</v>
      </c>
      <c r="B255" s="15" t="s">
        <v>122</v>
      </c>
      <c r="H255" s="1" t="s">
        <v>266</v>
      </c>
      <c r="I255" s="35" t="s">
        <v>267</v>
      </c>
      <c r="J255" s="1" t="s">
        <v>125</v>
      </c>
      <c r="K255" s="2" t="s">
        <v>47</v>
      </c>
      <c r="L255" s="1">
        <v>33</v>
      </c>
      <c r="M255" s="1" t="s">
        <v>126</v>
      </c>
      <c r="N255" s="1" t="s">
        <v>126</v>
      </c>
      <c r="O255" s="16">
        <v>46025</v>
      </c>
      <c r="P255" s="16">
        <v>46387</v>
      </c>
      <c r="Q255" s="17">
        <f>(P255-O255)/30</f>
        <v>12.066666666666666</v>
      </c>
      <c r="R255" s="1">
        <v>101</v>
      </c>
      <c r="S255" s="1">
        <v>133</v>
      </c>
      <c r="T255" s="6">
        <v>3040380</v>
      </c>
      <c r="U255" s="6">
        <f>(T255*0.16)+T255</f>
        <v>3526840.8</v>
      </c>
      <c r="V255" s="6">
        <v>7600950</v>
      </c>
      <c r="W255" s="6">
        <f>(V255*0.16)+V255</f>
        <v>8817102</v>
      </c>
      <c r="AA255" s="6">
        <v>19049</v>
      </c>
    </row>
    <row r="256" spans="1:27" x14ac:dyDescent="0.25">
      <c r="A256" s="5" t="s">
        <v>268</v>
      </c>
      <c r="B256" s="15" t="s">
        <v>44</v>
      </c>
      <c r="H256" s="1" t="s">
        <v>269</v>
      </c>
      <c r="I256" s="35" t="s">
        <v>270</v>
      </c>
      <c r="J256" s="1" t="s">
        <v>125</v>
      </c>
      <c r="K256" t="s">
        <v>47</v>
      </c>
      <c r="L256" s="1">
        <v>13</v>
      </c>
      <c r="M256" s="1" t="s">
        <v>48</v>
      </c>
      <c r="N256" s="1" t="s">
        <v>48</v>
      </c>
      <c r="O256" s="16">
        <v>46098</v>
      </c>
      <c r="P256" s="16">
        <v>46387</v>
      </c>
      <c r="Q256" s="17">
        <v>9.6333333333333329</v>
      </c>
      <c r="R256" s="1">
        <v>227</v>
      </c>
      <c r="S256" s="1">
        <v>227</v>
      </c>
      <c r="T256" s="18">
        <v>4137931.0350000001</v>
      </c>
      <c r="U256" s="18">
        <f>(T256*0.16)+T256</f>
        <v>4800000.0005999999</v>
      </c>
      <c r="V256" s="6">
        <v>10344827.585000001</v>
      </c>
      <c r="W256" s="6">
        <v>11999999.998600001</v>
      </c>
      <c r="Y256" s="6"/>
      <c r="AA256" s="6">
        <v>12385</v>
      </c>
    </row>
    <row r="257" spans="1:27" x14ac:dyDescent="0.25">
      <c r="A257" s="5" t="s">
        <v>268</v>
      </c>
      <c r="B257" s="15" t="s">
        <v>44</v>
      </c>
      <c r="H257" s="1" t="s">
        <v>269</v>
      </c>
      <c r="I257" s="35" t="s">
        <v>270</v>
      </c>
      <c r="J257" s="1" t="s">
        <v>125</v>
      </c>
      <c r="K257" t="s">
        <v>77</v>
      </c>
      <c r="L257" s="1">
        <v>2</v>
      </c>
      <c r="M257" s="1" t="s">
        <v>48</v>
      </c>
      <c r="N257" s="1" t="s">
        <v>48</v>
      </c>
      <c r="O257" s="16">
        <v>46098</v>
      </c>
      <c r="P257" s="16">
        <v>46387</v>
      </c>
      <c r="Q257" s="17">
        <v>9.6333333333333329</v>
      </c>
      <c r="R257" s="1">
        <v>8</v>
      </c>
      <c r="S257" s="1">
        <v>8</v>
      </c>
      <c r="T257" s="18">
        <v>4137931.0350000001</v>
      </c>
      <c r="U257" s="18">
        <f>(T257*0.16)+T257</f>
        <v>4800000.0005999999</v>
      </c>
      <c r="V257" s="6">
        <v>10344827.585000001</v>
      </c>
      <c r="W257" s="6">
        <v>11999999.998600001</v>
      </c>
      <c r="AA257" s="6">
        <v>12385</v>
      </c>
    </row>
    <row r="258" spans="1:27" x14ac:dyDescent="0.25">
      <c r="A258" s="30" t="s">
        <v>271</v>
      </c>
      <c r="B258" s="15" t="s">
        <v>122</v>
      </c>
      <c r="H258" s="1" t="s">
        <v>272</v>
      </c>
      <c r="I258" s="35" t="s">
        <v>273</v>
      </c>
      <c r="J258" s="1" t="s">
        <v>125</v>
      </c>
      <c r="K258" s="2" t="s">
        <v>47</v>
      </c>
      <c r="L258" s="1">
        <v>30</v>
      </c>
      <c r="M258" s="1" t="s">
        <v>126</v>
      </c>
      <c r="N258" s="1" t="s">
        <v>126</v>
      </c>
      <c r="O258" s="16">
        <v>46041</v>
      </c>
      <c r="P258" s="16">
        <v>46387</v>
      </c>
      <c r="Q258" s="17">
        <f>(P258-O258)/30</f>
        <v>11.533333333333333</v>
      </c>
      <c r="R258" s="1">
        <v>42</v>
      </c>
      <c r="S258" s="1">
        <v>42</v>
      </c>
      <c r="T258" s="6">
        <f>(U258*100%)/116%</f>
        <v>689655.17241379316</v>
      </c>
      <c r="U258" s="6">
        <v>800000</v>
      </c>
      <c r="V258" s="6">
        <f>(W258*100%)/116%</f>
        <v>7376206.8965517245</v>
      </c>
      <c r="W258" s="6">
        <v>8556400</v>
      </c>
      <c r="Y258" s="6"/>
      <c r="AA258" s="6">
        <v>22766.07</v>
      </c>
    </row>
    <row r="259" spans="1:27" x14ac:dyDescent="0.25">
      <c r="A259" s="5" t="s">
        <v>274</v>
      </c>
      <c r="B259" s="15" t="s">
        <v>44</v>
      </c>
      <c r="H259" s="1" t="s">
        <v>275</v>
      </c>
      <c r="I259" s="35" t="s">
        <v>276</v>
      </c>
      <c r="J259" s="1" t="s">
        <v>125</v>
      </c>
      <c r="K259" s="2" t="s">
        <v>47</v>
      </c>
      <c r="L259" s="1">
        <v>8</v>
      </c>
      <c r="M259" s="1" t="s">
        <v>48</v>
      </c>
      <c r="N259" s="1" t="s">
        <v>48</v>
      </c>
      <c r="O259" s="16">
        <v>46086</v>
      </c>
      <c r="P259" s="16">
        <v>46387</v>
      </c>
      <c r="Q259" s="17">
        <v>10.033333333333333</v>
      </c>
      <c r="R259" s="1">
        <v>227</v>
      </c>
      <c r="S259" s="1">
        <v>227</v>
      </c>
      <c r="T259" s="6">
        <v>12413793.1</v>
      </c>
      <c r="U259" s="6">
        <v>14399999.995999999</v>
      </c>
      <c r="V259" s="6">
        <v>31034482.760000002</v>
      </c>
      <c r="W259" s="6">
        <v>36000000.001599997</v>
      </c>
      <c r="Y259" s="1" t="s">
        <v>277</v>
      </c>
      <c r="AA259" s="6">
        <v>15130</v>
      </c>
    </row>
    <row r="260" spans="1:27" x14ac:dyDescent="0.25">
      <c r="A260" s="5" t="s">
        <v>278</v>
      </c>
      <c r="B260" s="15" t="s">
        <v>86</v>
      </c>
      <c r="C260" s="1" t="s">
        <v>279</v>
      </c>
      <c r="H260" s="1" t="s">
        <v>275</v>
      </c>
      <c r="I260" s="35" t="s">
        <v>280</v>
      </c>
      <c r="J260" s="1" t="s">
        <v>125</v>
      </c>
      <c r="K260" s="21" t="s">
        <v>47</v>
      </c>
      <c r="L260" s="1">
        <v>1</v>
      </c>
      <c r="M260" s="1" t="s">
        <v>90</v>
      </c>
      <c r="N260" s="1" t="s">
        <v>90</v>
      </c>
      <c r="O260" s="16">
        <v>46058</v>
      </c>
      <c r="P260" s="16">
        <v>46081</v>
      </c>
      <c r="Q260" s="17">
        <v>1</v>
      </c>
      <c r="R260" s="1">
        <f t="shared" ref="R260:R291" si="6">S260</f>
        <v>2</v>
      </c>
      <c r="S260" s="1">
        <v>2</v>
      </c>
      <c r="T260" s="6">
        <v>0</v>
      </c>
      <c r="U260" s="6">
        <v>0</v>
      </c>
      <c r="V260" s="6">
        <v>26043</v>
      </c>
      <c r="W260" s="6">
        <v>30209.88</v>
      </c>
      <c r="AA260" s="6">
        <v>13021.5</v>
      </c>
    </row>
    <row r="261" spans="1:27" x14ac:dyDescent="0.25">
      <c r="A261" s="5" t="s">
        <v>278</v>
      </c>
      <c r="B261" s="15" t="s">
        <v>86</v>
      </c>
      <c r="C261" s="1" t="s">
        <v>279</v>
      </c>
      <c r="H261" s="1" t="s">
        <v>275</v>
      </c>
      <c r="I261" s="35" t="s">
        <v>280</v>
      </c>
      <c r="J261" s="1" t="s">
        <v>125</v>
      </c>
      <c r="K261" s="21" t="s">
        <v>47</v>
      </c>
      <c r="L261" s="1">
        <v>1</v>
      </c>
      <c r="M261" s="1" t="s">
        <v>90</v>
      </c>
      <c r="N261" s="1" t="s">
        <v>90</v>
      </c>
      <c r="O261" s="16">
        <v>46058</v>
      </c>
      <c r="P261" s="16">
        <v>46081</v>
      </c>
      <c r="Q261" s="17">
        <v>1</v>
      </c>
      <c r="R261" s="1">
        <f t="shared" si="6"/>
        <v>34</v>
      </c>
      <c r="S261" s="1">
        <v>34</v>
      </c>
      <c r="T261" s="6">
        <v>0</v>
      </c>
      <c r="U261" s="6">
        <v>0</v>
      </c>
      <c r="V261" s="6">
        <v>465806.8</v>
      </c>
      <c r="W261" s="6">
        <v>540335.89</v>
      </c>
      <c r="AA261" s="6">
        <v>13700.2</v>
      </c>
    </row>
    <row r="262" spans="1:27" x14ac:dyDescent="0.25">
      <c r="A262" s="5" t="s">
        <v>278</v>
      </c>
      <c r="B262" s="15" t="s">
        <v>86</v>
      </c>
      <c r="C262" s="1" t="s">
        <v>279</v>
      </c>
      <c r="H262" s="1" t="s">
        <v>275</v>
      </c>
      <c r="I262" s="35" t="s">
        <v>280</v>
      </c>
      <c r="J262" s="1" t="s">
        <v>125</v>
      </c>
      <c r="K262" s="21" t="s">
        <v>73</v>
      </c>
      <c r="L262" s="1">
        <v>1</v>
      </c>
      <c r="M262" s="1" t="s">
        <v>90</v>
      </c>
      <c r="N262" s="1" t="s">
        <v>90</v>
      </c>
      <c r="O262" s="16">
        <v>46058</v>
      </c>
      <c r="P262" s="16">
        <v>46081</v>
      </c>
      <c r="Q262" s="17">
        <v>1</v>
      </c>
      <c r="R262" s="1">
        <f t="shared" si="6"/>
        <v>2</v>
      </c>
      <c r="S262" s="1">
        <v>2</v>
      </c>
      <c r="T262" s="6">
        <v>0</v>
      </c>
      <c r="U262" s="6">
        <v>0</v>
      </c>
      <c r="V262" s="6">
        <v>30193.4</v>
      </c>
      <c r="W262" s="6">
        <v>35024.339999999997</v>
      </c>
      <c r="AA262" s="6">
        <v>15096.7</v>
      </c>
    </row>
    <row r="263" spans="1:27" x14ac:dyDescent="0.25">
      <c r="A263" s="5" t="s">
        <v>278</v>
      </c>
      <c r="B263" s="15" t="s">
        <v>86</v>
      </c>
      <c r="C263" s="1" t="s">
        <v>279</v>
      </c>
      <c r="H263" s="1" t="s">
        <v>275</v>
      </c>
      <c r="I263" s="35" t="s">
        <v>280</v>
      </c>
      <c r="J263" s="1" t="s">
        <v>125</v>
      </c>
      <c r="K263" s="21" t="s">
        <v>72</v>
      </c>
      <c r="L263" s="1">
        <v>1</v>
      </c>
      <c r="M263" s="1" t="s">
        <v>90</v>
      </c>
      <c r="N263" s="1" t="s">
        <v>90</v>
      </c>
      <c r="O263" s="16">
        <v>46058</v>
      </c>
      <c r="P263" s="16">
        <v>46081</v>
      </c>
      <c r="Q263" s="17">
        <v>1</v>
      </c>
      <c r="R263" s="1">
        <f t="shared" si="6"/>
        <v>2</v>
      </c>
      <c r="S263" s="1">
        <v>2</v>
      </c>
      <c r="T263" s="6">
        <v>0</v>
      </c>
      <c r="U263" s="6">
        <v>0</v>
      </c>
      <c r="V263" s="6">
        <v>36159.300000000003</v>
      </c>
      <c r="W263" s="6">
        <v>41944.79</v>
      </c>
      <c r="AA263" s="6">
        <v>18079.650000000001</v>
      </c>
    </row>
    <row r="264" spans="1:27" x14ac:dyDescent="0.25">
      <c r="A264" s="5" t="s">
        <v>278</v>
      </c>
      <c r="B264" s="15" t="s">
        <v>86</v>
      </c>
      <c r="C264" s="1" t="s">
        <v>279</v>
      </c>
      <c r="H264" s="1" t="s">
        <v>275</v>
      </c>
      <c r="I264" s="35" t="s">
        <v>280</v>
      </c>
      <c r="J264" s="1" t="s">
        <v>125</v>
      </c>
      <c r="K264" s="21" t="s">
        <v>83</v>
      </c>
      <c r="L264" s="1">
        <v>1</v>
      </c>
      <c r="M264" s="1" t="s">
        <v>90</v>
      </c>
      <c r="N264" s="1" t="s">
        <v>90</v>
      </c>
      <c r="O264" s="16">
        <v>46058</v>
      </c>
      <c r="P264" s="16">
        <v>46081</v>
      </c>
      <c r="Q264" s="17">
        <v>1</v>
      </c>
      <c r="R264" s="1">
        <f t="shared" si="6"/>
        <v>1</v>
      </c>
      <c r="S264" s="1">
        <v>1</v>
      </c>
      <c r="T264" s="6">
        <v>0</v>
      </c>
      <c r="U264" s="6">
        <v>0</v>
      </c>
      <c r="V264" s="6">
        <v>14925.11</v>
      </c>
      <c r="W264" s="6">
        <v>17313.13</v>
      </c>
      <c r="AA264" s="6">
        <v>14925.11</v>
      </c>
    </row>
    <row r="265" spans="1:27" x14ac:dyDescent="0.25">
      <c r="A265" s="5" t="s">
        <v>278</v>
      </c>
      <c r="B265" s="15" t="s">
        <v>86</v>
      </c>
      <c r="C265" s="1" t="s">
        <v>279</v>
      </c>
      <c r="H265" s="1" t="s">
        <v>275</v>
      </c>
      <c r="I265" s="35" t="s">
        <v>280</v>
      </c>
      <c r="J265" s="1" t="s">
        <v>125</v>
      </c>
      <c r="K265" s="21" t="s">
        <v>81</v>
      </c>
      <c r="L265" s="1">
        <v>1</v>
      </c>
      <c r="M265" s="1" t="s">
        <v>90</v>
      </c>
      <c r="N265" s="1" t="s">
        <v>90</v>
      </c>
      <c r="O265" s="16">
        <v>46058</v>
      </c>
      <c r="P265" s="16">
        <v>46081</v>
      </c>
      <c r="Q265" s="17">
        <v>1</v>
      </c>
      <c r="R265" s="1">
        <f t="shared" si="6"/>
        <v>2</v>
      </c>
      <c r="S265" s="1">
        <v>2</v>
      </c>
      <c r="T265" s="6">
        <v>0</v>
      </c>
      <c r="U265" s="6">
        <v>0</v>
      </c>
      <c r="V265" s="6">
        <v>28263.08</v>
      </c>
      <c r="W265" s="6">
        <v>32785.17</v>
      </c>
      <c r="AA265" s="6">
        <v>14131.54</v>
      </c>
    </row>
    <row r="266" spans="1:27" x14ac:dyDescent="0.25">
      <c r="A266" s="5" t="s">
        <v>278</v>
      </c>
      <c r="B266" s="15" t="s">
        <v>86</v>
      </c>
      <c r="C266" s="1" t="s">
        <v>279</v>
      </c>
      <c r="H266" s="1" t="s">
        <v>275</v>
      </c>
      <c r="I266" s="35" t="s">
        <v>280</v>
      </c>
      <c r="J266" s="1" t="s">
        <v>125</v>
      </c>
      <c r="K266" s="21" t="s">
        <v>75</v>
      </c>
      <c r="L266" s="1">
        <v>1</v>
      </c>
      <c r="M266" s="1" t="s">
        <v>90</v>
      </c>
      <c r="N266" s="1" t="s">
        <v>90</v>
      </c>
      <c r="O266" s="16">
        <v>46058</v>
      </c>
      <c r="P266" s="16">
        <v>46081</v>
      </c>
      <c r="Q266" s="17">
        <v>1</v>
      </c>
      <c r="R266" s="1">
        <f t="shared" si="6"/>
        <v>4</v>
      </c>
      <c r="S266" s="1">
        <v>4</v>
      </c>
      <c r="T266" s="6">
        <v>0</v>
      </c>
      <c r="U266" s="6">
        <v>0</v>
      </c>
      <c r="V266" s="6">
        <v>63370.32</v>
      </c>
      <c r="W266" s="6">
        <v>73509.570000000007</v>
      </c>
      <c r="AA266" s="6">
        <v>15842.58</v>
      </c>
    </row>
    <row r="267" spans="1:27" x14ac:dyDescent="0.25">
      <c r="A267" s="5" t="s">
        <v>278</v>
      </c>
      <c r="B267" s="15" t="s">
        <v>86</v>
      </c>
      <c r="C267" s="1" t="s">
        <v>279</v>
      </c>
      <c r="H267" s="1" t="s">
        <v>275</v>
      </c>
      <c r="I267" s="35" t="s">
        <v>280</v>
      </c>
      <c r="J267" s="1" t="s">
        <v>125</v>
      </c>
      <c r="K267" s="21" t="s">
        <v>75</v>
      </c>
      <c r="L267" s="1">
        <v>1</v>
      </c>
      <c r="M267" s="1" t="s">
        <v>90</v>
      </c>
      <c r="N267" s="1" t="s">
        <v>90</v>
      </c>
      <c r="O267" s="16">
        <v>46058</v>
      </c>
      <c r="P267" s="16">
        <v>46081</v>
      </c>
      <c r="Q267" s="17">
        <v>1</v>
      </c>
      <c r="R267" s="1">
        <f t="shared" si="6"/>
        <v>6</v>
      </c>
      <c r="S267" s="1">
        <v>6</v>
      </c>
      <c r="T267" s="6">
        <v>0</v>
      </c>
      <c r="U267" s="6">
        <v>0</v>
      </c>
      <c r="V267" s="6">
        <v>95055.48</v>
      </c>
      <c r="W267" s="6">
        <v>110264.36</v>
      </c>
      <c r="AA267" s="6">
        <v>15842.58</v>
      </c>
    </row>
    <row r="268" spans="1:27" x14ac:dyDescent="0.25">
      <c r="A268" s="5" t="s">
        <v>278</v>
      </c>
      <c r="B268" s="15" t="s">
        <v>86</v>
      </c>
      <c r="C268" s="1" t="s">
        <v>279</v>
      </c>
      <c r="H268" s="1" t="s">
        <v>275</v>
      </c>
      <c r="I268" s="35" t="s">
        <v>280</v>
      </c>
      <c r="J268" s="1" t="s">
        <v>125</v>
      </c>
      <c r="K268" s="21" t="s">
        <v>67</v>
      </c>
      <c r="L268" s="1">
        <v>1</v>
      </c>
      <c r="M268" s="1" t="s">
        <v>90</v>
      </c>
      <c r="N268" s="1" t="s">
        <v>90</v>
      </c>
      <c r="O268" s="16">
        <v>46058</v>
      </c>
      <c r="P268" s="16">
        <v>46081</v>
      </c>
      <c r="Q268" s="17">
        <v>1</v>
      </c>
      <c r="R268" s="1">
        <f t="shared" si="6"/>
        <v>3</v>
      </c>
      <c r="S268" s="1">
        <v>3</v>
      </c>
      <c r="T268" s="6">
        <v>0</v>
      </c>
      <c r="U268" s="6">
        <v>0</v>
      </c>
      <c r="V268" s="6">
        <v>44884.59</v>
      </c>
      <c r="W268" s="6">
        <v>52066.12</v>
      </c>
      <c r="AA268" s="6">
        <v>14961.53</v>
      </c>
    </row>
    <row r="269" spans="1:27" x14ac:dyDescent="0.25">
      <c r="A269" s="5" t="s">
        <v>278</v>
      </c>
      <c r="B269" s="15" t="s">
        <v>86</v>
      </c>
      <c r="C269" s="1" t="s">
        <v>279</v>
      </c>
      <c r="H269" s="1" t="s">
        <v>275</v>
      </c>
      <c r="I269" s="35" t="s">
        <v>280</v>
      </c>
      <c r="J269" s="1" t="s">
        <v>125</v>
      </c>
      <c r="K269" s="21" t="s">
        <v>61</v>
      </c>
      <c r="L269" s="1">
        <v>1</v>
      </c>
      <c r="M269" s="1" t="s">
        <v>90</v>
      </c>
      <c r="N269" s="1" t="s">
        <v>90</v>
      </c>
      <c r="O269" s="16">
        <v>46058</v>
      </c>
      <c r="P269" s="16">
        <v>46081</v>
      </c>
      <c r="Q269" s="17">
        <v>1</v>
      </c>
      <c r="R269" s="1">
        <f t="shared" si="6"/>
        <v>4</v>
      </c>
      <c r="S269" s="1">
        <v>4</v>
      </c>
      <c r="T269" s="6">
        <v>0</v>
      </c>
      <c r="U269" s="6">
        <v>0</v>
      </c>
      <c r="V269" s="6">
        <v>58662.48</v>
      </c>
      <c r="W269" s="6">
        <v>68048.479999999996</v>
      </c>
      <c r="AA269" s="6">
        <v>14665.62</v>
      </c>
    </row>
    <row r="270" spans="1:27" x14ac:dyDescent="0.25">
      <c r="A270" s="5" t="s">
        <v>278</v>
      </c>
      <c r="B270" s="15" t="s">
        <v>86</v>
      </c>
      <c r="C270" s="1" t="s">
        <v>279</v>
      </c>
      <c r="H270" s="1" t="s">
        <v>275</v>
      </c>
      <c r="I270" s="35" t="s">
        <v>280</v>
      </c>
      <c r="J270" s="1" t="s">
        <v>125</v>
      </c>
      <c r="K270" s="21" t="s">
        <v>76</v>
      </c>
      <c r="L270" s="1">
        <v>1</v>
      </c>
      <c r="M270" s="1" t="s">
        <v>90</v>
      </c>
      <c r="N270" s="1" t="s">
        <v>90</v>
      </c>
      <c r="O270" s="16">
        <v>46058</v>
      </c>
      <c r="P270" s="16">
        <v>46081</v>
      </c>
      <c r="Q270" s="17">
        <v>1</v>
      </c>
      <c r="R270" s="1">
        <f t="shared" si="6"/>
        <v>4</v>
      </c>
      <c r="S270" s="1">
        <v>4</v>
      </c>
      <c r="T270" s="6">
        <v>0</v>
      </c>
      <c r="U270" s="6">
        <v>0</v>
      </c>
      <c r="V270" s="6">
        <v>62755.72</v>
      </c>
      <c r="W270" s="6">
        <v>72796.639999999999</v>
      </c>
      <c r="AA270" s="6">
        <v>15688.93</v>
      </c>
    </row>
    <row r="271" spans="1:27" x14ac:dyDescent="0.25">
      <c r="A271" s="5" t="s">
        <v>278</v>
      </c>
      <c r="B271" s="15" t="s">
        <v>86</v>
      </c>
      <c r="C271" s="1" t="s">
        <v>279</v>
      </c>
      <c r="H271" s="1" t="s">
        <v>275</v>
      </c>
      <c r="I271" s="35" t="s">
        <v>280</v>
      </c>
      <c r="J271" s="1" t="s">
        <v>125</v>
      </c>
      <c r="K271" s="2" t="s">
        <v>56</v>
      </c>
      <c r="L271" s="1">
        <v>1</v>
      </c>
      <c r="M271" s="1" t="s">
        <v>90</v>
      </c>
      <c r="N271" s="1" t="s">
        <v>90</v>
      </c>
      <c r="O271" s="16">
        <v>46058</v>
      </c>
      <c r="P271" s="16">
        <v>46081</v>
      </c>
      <c r="Q271" s="17">
        <v>1</v>
      </c>
      <c r="R271" s="1">
        <f t="shared" si="6"/>
        <v>2</v>
      </c>
      <c r="S271" s="1">
        <v>2</v>
      </c>
      <c r="T271" s="6">
        <v>0</v>
      </c>
      <c r="U271" s="6">
        <v>0</v>
      </c>
      <c r="V271" s="6">
        <v>26043</v>
      </c>
      <c r="W271" s="6">
        <v>30209.88</v>
      </c>
      <c r="AA271" s="6">
        <v>13021.5</v>
      </c>
    </row>
    <row r="272" spans="1:27" x14ac:dyDescent="0.25">
      <c r="A272" s="5" t="s">
        <v>278</v>
      </c>
      <c r="B272" s="15" t="s">
        <v>86</v>
      </c>
      <c r="C272" s="1" t="s">
        <v>279</v>
      </c>
      <c r="H272" s="1" t="s">
        <v>275</v>
      </c>
      <c r="I272" s="35" t="s">
        <v>280</v>
      </c>
      <c r="J272" s="1" t="s">
        <v>125</v>
      </c>
      <c r="K272" s="21" t="s">
        <v>62</v>
      </c>
      <c r="L272" s="1">
        <v>1</v>
      </c>
      <c r="M272" s="1" t="s">
        <v>90</v>
      </c>
      <c r="N272" s="1" t="s">
        <v>90</v>
      </c>
      <c r="O272" s="16">
        <v>46058</v>
      </c>
      <c r="P272" s="16">
        <v>46081</v>
      </c>
      <c r="Q272" s="17">
        <v>1</v>
      </c>
      <c r="R272" s="1">
        <f t="shared" si="6"/>
        <v>2</v>
      </c>
      <c r="S272" s="1">
        <v>2</v>
      </c>
      <c r="T272" s="6">
        <v>0</v>
      </c>
      <c r="U272" s="6">
        <v>0</v>
      </c>
      <c r="V272" s="6">
        <v>26832.18</v>
      </c>
      <c r="W272" s="6">
        <v>31125.33</v>
      </c>
      <c r="AA272" s="6">
        <v>13416.09</v>
      </c>
    </row>
    <row r="273" spans="1:27" x14ac:dyDescent="0.25">
      <c r="A273" s="5" t="s">
        <v>278</v>
      </c>
      <c r="B273" s="15" t="s">
        <v>86</v>
      </c>
      <c r="C273" s="1" t="s">
        <v>279</v>
      </c>
      <c r="H273" s="1" t="s">
        <v>275</v>
      </c>
      <c r="I273" s="35" t="s">
        <v>280</v>
      </c>
      <c r="J273" s="1" t="s">
        <v>125</v>
      </c>
      <c r="K273" s="21" t="s">
        <v>79</v>
      </c>
      <c r="L273" s="1">
        <v>1</v>
      </c>
      <c r="M273" s="1" t="s">
        <v>90</v>
      </c>
      <c r="N273" s="1" t="s">
        <v>90</v>
      </c>
      <c r="O273" s="16">
        <v>46058</v>
      </c>
      <c r="P273" s="16">
        <v>46081</v>
      </c>
      <c r="Q273" s="17">
        <v>1</v>
      </c>
      <c r="R273" s="1">
        <f t="shared" si="6"/>
        <v>3</v>
      </c>
      <c r="S273" s="1">
        <v>3</v>
      </c>
      <c r="T273" s="6">
        <v>0</v>
      </c>
      <c r="U273" s="6">
        <v>0</v>
      </c>
      <c r="V273" s="6">
        <v>41222.910000000003</v>
      </c>
      <c r="W273" s="6">
        <v>47818.58</v>
      </c>
      <c r="AA273" s="6">
        <v>13740.97</v>
      </c>
    </row>
    <row r="274" spans="1:27" x14ac:dyDescent="0.25">
      <c r="A274" s="5" t="s">
        <v>278</v>
      </c>
      <c r="B274" s="15" t="s">
        <v>86</v>
      </c>
      <c r="C274" s="1" t="s">
        <v>279</v>
      </c>
      <c r="H274" s="1" t="s">
        <v>275</v>
      </c>
      <c r="I274" s="35" t="s">
        <v>280</v>
      </c>
      <c r="J274" s="1" t="s">
        <v>125</v>
      </c>
      <c r="K274" s="21" t="s">
        <v>64</v>
      </c>
      <c r="L274" s="1">
        <v>1</v>
      </c>
      <c r="M274" s="1" t="s">
        <v>90</v>
      </c>
      <c r="N274" s="1" t="s">
        <v>90</v>
      </c>
      <c r="O274" s="16">
        <v>46058</v>
      </c>
      <c r="P274" s="16">
        <v>46081</v>
      </c>
      <c r="Q274" s="17">
        <v>1</v>
      </c>
      <c r="R274" s="1">
        <f t="shared" si="6"/>
        <v>2</v>
      </c>
      <c r="S274" s="1">
        <v>2</v>
      </c>
      <c r="T274" s="6">
        <v>0</v>
      </c>
      <c r="U274" s="6">
        <v>0</v>
      </c>
      <c r="V274" s="6">
        <v>27311.84</v>
      </c>
      <c r="W274" s="6">
        <v>31681.73</v>
      </c>
      <c r="AA274" s="6">
        <v>13655.92</v>
      </c>
    </row>
    <row r="275" spans="1:27" x14ac:dyDescent="0.25">
      <c r="A275" s="5" t="s">
        <v>278</v>
      </c>
      <c r="B275" s="15" t="s">
        <v>86</v>
      </c>
      <c r="C275" s="1" t="s">
        <v>279</v>
      </c>
      <c r="H275" s="1" t="s">
        <v>275</v>
      </c>
      <c r="I275" s="35" t="s">
        <v>280</v>
      </c>
      <c r="J275" s="1" t="s">
        <v>125</v>
      </c>
      <c r="K275" s="21" t="s">
        <v>57</v>
      </c>
      <c r="L275" s="1">
        <v>1</v>
      </c>
      <c r="M275" s="1" t="s">
        <v>90</v>
      </c>
      <c r="N275" s="1" t="s">
        <v>90</v>
      </c>
      <c r="O275" s="16">
        <v>46058</v>
      </c>
      <c r="P275" s="16">
        <v>46081</v>
      </c>
      <c r="Q275" s="17">
        <v>1</v>
      </c>
      <c r="R275" s="1">
        <f t="shared" si="6"/>
        <v>6</v>
      </c>
      <c r="S275" s="1">
        <v>6</v>
      </c>
      <c r="T275" s="6">
        <v>0</v>
      </c>
      <c r="U275" s="6">
        <v>0</v>
      </c>
      <c r="V275" s="6">
        <v>83549.7</v>
      </c>
      <c r="W275" s="6">
        <v>96917.65</v>
      </c>
      <c r="AA275" s="6">
        <v>13924.95</v>
      </c>
    </row>
    <row r="276" spans="1:27" x14ac:dyDescent="0.25">
      <c r="A276" s="5" t="s">
        <v>278</v>
      </c>
      <c r="B276" s="15" t="s">
        <v>86</v>
      </c>
      <c r="C276" s="1" t="s">
        <v>279</v>
      </c>
      <c r="H276" s="1" t="s">
        <v>275</v>
      </c>
      <c r="I276" s="35" t="s">
        <v>280</v>
      </c>
      <c r="J276" s="1" t="s">
        <v>125</v>
      </c>
      <c r="K276" s="21" t="s">
        <v>60</v>
      </c>
      <c r="L276" s="1">
        <v>1</v>
      </c>
      <c r="M276" s="1" t="s">
        <v>90</v>
      </c>
      <c r="N276" s="1" t="s">
        <v>90</v>
      </c>
      <c r="O276" s="16">
        <v>46058</v>
      </c>
      <c r="P276" s="16">
        <v>46081</v>
      </c>
      <c r="Q276" s="17">
        <v>1</v>
      </c>
      <c r="R276" s="1">
        <f t="shared" si="6"/>
        <v>6</v>
      </c>
      <c r="S276" s="1">
        <v>6</v>
      </c>
      <c r="T276" s="6">
        <v>0</v>
      </c>
      <c r="U276" s="6">
        <v>0</v>
      </c>
      <c r="V276" s="6">
        <v>88411.98</v>
      </c>
      <c r="W276" s="6">
        <v>102557.9</v>
      </c>
      <c r="AA276" s="6">
        <v>14735.33</v>
      </c>
    </row>
    <row r="277" spans="1:27" x14ac:dyDescent="0.25">
      <c r="A277" s="5" t="s">
        <v>278</v>
      </c>
      <c r="B277" s="15" t="s">
        <v>86</v>
      </c>
      <c r="C277" s="1" t="s">
        <v>279</v>
      </c>
      <c r="H277" s="1" t="s">
        <v>275</v>
      </c>
      <c r="I277" s="35" t="s">
        <v>280</v>
      </c>
      <c r="J277" s="1" t="s">
        <v>125</v>
      </c>
      <c r="K277" s="2" t="s">
        <v>63</v>
      </c>
      <c r="L277" s="1">
        <v>1</v>
      </c>
      <c r="M277" s="1" t="s">
        <v>90</v>
      </c>
      <c r="N277" s="1" t="s">
        <v>90</v>
      </c>
      <c r="O277" s="16">
        <v>46058</v>
      </c>
      <c r="P277" s="16">
        <v>46081</v>
      </c>
      <c r="Q277" s="17">
        <v>1</v>
      </c>
      <c r="R277" s="1">
        <f t="shared" si="6"/>
        <v>2</v>
      </c>
      <c r="S277" s="1">
        <v>2</v>
      </c>
      <c r="T277" s="6">
        <v>0</v>
      </c>
      <c r="U277" s="6">
        <v>0</v>
      </c>
      <c r="V277" s="6">
        <v>27010.12</v>
      </c>
      <c r="W277" s="6">
        <v>31331.74</v>
      </c>
      <c r="AA277" s="6">
        <v>13505.06</v>
      </c>
    </row>
    <row r="278" spans="1:27" x14ac:dyDescent="0.25">
      <c r="A278" s="5" t="s">
        <v>278</v>
      </c>
      <c r="B278" s="15" t="s">
        <v>86</v>
      </c>
      <c r="C278" s="1" t="s">
        <v>279</v>
      </c>
      <c r="H278" s="1" t="s">
        <v>275</v>
      </c>
      <c r="I278" s="35" t="s">
        <v>280</v>
      </c>
      <c r="J278" s="1" t="s">
        <v>125</v>
      </c>
      <c r="K278" s="21" t="s">
        <v>58</v>
      </c>
      <c r="L278" s="1">
        <v>1</v>
      </c>
      <c r="M278" s="1" t="s">
        <v>90</v>
      </c>
      <c r="N278" s="1" t="s">
        <v>90</v>
      </c>
      <c r="O278" s="16">
        <v>46058</v>
      </c>
      <c r="P278" s="16">
        <v>46081</v>
      </c>
      <c r="Q278" s="17">
        <v>1</v>
      </c>
      <c r="R278" s="1">
        <f t="shared" si="6"/>
        <v>2</v>
      </c>
      <c r="S278" s="1">
        <v>2</v>
      </c>
      <c r="T278" s="6">
        <v>0</v>
      </c>
      <c r="U278" s="6">
        <v>0</v>
      </c>
      <c r="V278" s="6">
        <v>27662.48</v>
      </c>
      <c r="W278" s="6">
        <v>32088.48</v>
      </c>
      <c r="AA278" s="6">
        <v>13831.24</v>
      </c>
    </row>
    <row r="279" spans="1:27" x14ac:dyDescent="0.25">
      <c r="A279" s="5" t="s">
        <v>278</v>
      </c>
      <c r="B279" s="15" t="s">
        <v>86</v>
      </c>
      <c r="C279" s="1" t="s">
        <v>279</v>
      </c>
      <c r="H279" s="1" t="s">
        <v>275</v>
      </c>
      <c r="I279" s="35" t="s">
        <v>280</v>
      </c>
      <c r="J279" s="1" t="s">
        <v>125</v>
      </c>
      <c r="K279" s="21" t="s">
        <v>65</v>
      </c>
      <c r="L279" s="1">
        <v>1</v>
      </c>
      <c r="M279" s="1" t="s">
        <v>90</v>
      </c>
      <c r="N279" s="1" t="s">
        <v>90</v>
      </c>
      <c r="O279" s="16">
        <v>46058</v>
      </c>
      <c r="P279" s="16">
        <v>46081</v>
      </c>
      <c r="Q279" s="17">
        <v>1</v>
      </c>
      <c r="R279" s="1">
        <f t="shared" si="6"/>
        <v>2</v>
      </c>
      <c r="S279" s="1">
        <v>2</v>
      </c>
      <c r="T279" s="6">
        <v>0</v>
      </c>
      <c r="U279" s="6">
        <v>0</v>
      </c>
      <c r="V279" s="6">
        <v>27010.14</v>
      </c>
      <c r="W279" s="6">
        <v>31331.759999999998</v>
      </c>
      <c r="AA279" s="6">
        <v>13505.07</v>
      </c>
    </row>
    <row r="280" spans="1:27" x14ac:dyDescent="0.25">
      <c r="A280" s="5" t="s">
        <v>278</v>
      </c>
      <c r="B280" s="15" t="s">
        <v>86</v>
      </c>
      <c r="C280" s="1" t="s">
        <v>279</v>
      </c>
      <c r="H280" s="1" t="s">
        <v>275</v>
      </c>
      <c r="I280" s="35" t="s">
        <v>280</v>
      </c>
      <c r="J280" s="1" t="s">
        <v>125</v>
      </c>
      <c r="K280" s="2" t="s">
        <v>49</v>
      </c>
      <c r="L280" s="1">
        <v>1</v>
      </c>
      <c r="M280" s="1" t="s">
        <v>90</v>
      </c>
      <c r="N280" s="1" t="s">
        <v>90</v>
      </c>
      <c r="O280" s="16">
        <v>46058</v>
      </c>
      <c r="P280" s="16">
        <v>46081</v>
      </c>
      <c r="Q280" s="17">
        <v>1</v>
      </c>
      <c r="R280" s="1">
        <f t="shared" si="6"/>
        <v>6</v>
      </c>
      <c r="S280" s="1">
        <v>6</v>
      </c>
      <c r="T280" s="6">
        <v>0</v>
      </c>
      <c r="U280" s="6">
        <v>0</v>
      </c>
      <c r="V280" s="6">
        <v>96318.24</v>
      </c>
      <c r="W280" s="6">
        <v>111729.16</v>
      </c>
      <c r="AA280" s="6">
        <v>16053.04</v>
      </c>
    </row>
    <row r="281" spans="1:27" x14ac:dyDescent="0.25">
      <c r="A281" s="5" t="s">
        <v>278</v>
      </c>
      <c r="B281" s="15" t="s">
        <v>86</v>
      </c>
      <c r="C281" s="1" t="s">
        <v>279</v>
      </c>
      <c r="H281" s="1" t="s">
        <v>275</v>
      </c>
      <c r="I281" s="35" t="s">
        <v>280</v>
      </c>
      <c r="J281" s="1" t="s">
        <v>125</v>
      </c>
      <c r="K281" s="21" t="s">
        <v>82</v>
      </c>
      <c r="L281" s="1">
        <v>1</v>
      </c>
      <c r="M281" s="1" t="s">
        <v>90</v>
      </c>
      <c r="N281" s="1" t="s">
        <v>90</v>
      </c>
      <c r="O281" s="16">
        <v>46058</v>
      </c>
      <c r="P281" s="16">
        <v>46081</v>
      </c>
      <c r="Q281" s="17">
        <v>1</v>
      </c>
      <c r="R281" s="1">
        <f t="shared" si="6"/>
        <v>4</v>
      </c>
      <c r="S281" s="1">
        <v>4</v>
      </c>
      <c r="T281" s="6">
        <v>0</v>
      </c>
      <c r="U281" s="6">
        <v>0</v>
      </c>
      <c r="V281" s="6">
        <v>64140.36</v>
      </c>
      <c r="W281" s="6">
        <v>74402.820000000007</v>
      </c>
      <c r="AA281" s="6">
        <v>16035.09</v>
      </c>
    </row>
    <row r="282" spans="1:27" x14ac:dyDescent="0.25">
      <c r="A282" s="5" t="s">
        <v>278</v>
      </c>
      <c r="B282" s="15" t="s">
        <v>86</v>
      </c>
      <c r="C282" s="1" t="s">
        <v>279</v>
      </c>
      <c r="H282" s="1" t="s">
        <v>275</v>
      </c>
      <c r="I282" s="35" t="s">
        <v>280</v>
      </c>
      <c r="J282" s="1" t="s">
        <v>125</v>
      </c>
      <c r="K282" s="21" t="s">
        <v>78</v>
      </c>
      <c r="L282" s="1">
        <v>1</v>
      </c>
      <c r="M282" s="1" t="s">
        <v>90</v>
      </c>
      <c r="N282" s="1" t="s">
        <v>90</v>
      </c>
      <c r="O282" s="16">
        <v>46058</v>
      </c>
      <c r="P282" s="16">
        <v>46081</v>
      </c>
      <c r="Q282" s="17">
        <v>1</v>
      </c>
      <c r="R282" s="1">
        <f t="shared" si="6"/>
        <v>6</v>
      </c>
      <c r="S282" s="1">
        <v>6</v>
      </c>
      <c r="T282" s="6">
        <v>0</v>
      </c>
      <c r="U282" s="6">
        <v>0</v>
      </c>
      <c r="V282" s="6">
        <v>75282.720000000001</v>
      </c>
      <c r="W282" s="6">
        <v>87327.96</v>
      </c>
      <c r="AA282" s="6">
        <v>12547.12</v>
      </c>
    </row>
    <row r="283" spans="1:27" x14ac:dyDescent="0.25">
      <c r="A283" s="5" t="s">
        <v>278</v>
      </c>
      <c r="B283" s="15" t="s">
        <v>86</v>
      </c>
      <c r="C283" s="1" t="s">
        <v>279</v>
      </c>
      <c r="H283" s="1" t="s">
        <v>275</v>
      </c>
      <c r="I283" s="35" t="s">
        <v>280</v>
      </c>
      <c r="J283" s="1" t="s">
        <v>125</v>
      </c>
      <c r="K283" s="2" t="s">
        <v>50</v>
      </c>
      <c r="L283" s="1">
        <v>1</v>
      </c>
      <c r="M283" s="1" t="s">
        <v>90</v>
      </c>
      <c r="N283" s="1" t="s">
        <v>90</v>
      </c>
      <c r="O283" s="16">
        <v>46058</v>
      </c>
      <c r="P283" s="16">
        <v>46081</v>
      </c>
      <c r="Q283" s="17">
        <v>1</v>
      </c>
      <c r="R283" s="1">
        <f t="shared" si="6"/>
        <v>4</v>
      </c>
      <c r="S283" s="1">
        <v>4</v>
      </c>
      <c r="T283" s="6">
        <v>0</v>
      </c>
      <c r="U283" s="6">
        <v>0</v>
      </c>
      <c r="V283" s="6">
        <v>57298.76</v>
      </c>
      <c r="W283" s="6">
        <v>66466.559999999998</v>
      </c>
      <c r="AA283" s="6">
        <v>14324.69</v>
      </c>
    </row>
    <row r="284" spans="1:27" x14ac:dyDescent="0.25">
      <c r="A284" s="5" t="s">
        <v>278</v>
      </c>
      <c r="B284" s="15" t="s">
        <v>86</v>
      </c>
      <c r="C284" s="1" t="s">
        <v>279</v>
      </c>
      <c r="H284" s="1" t="s">
        <v>275</v>
      </c>
      <c r="I284" s="35" t="s">
        <v>280</v>
      </c>
      <c r="J284" s="1" t="s">
        <v>125</v>
      </c>
      <c r="K284" s="21" t="s">
        <v>74</v>
      </c>
      <c r="L284" s="1">
        <v>1</v>
      </c>
      <c r="M284" s="1" t="s">
        <v>90</v>
      </c>
      <c r="N284" s="1" t="s">
        <v>90</v>
      </c>
      <c r="O284" s="16">
        <v>46058</v>
      </c>
      <c r="P284" s="16">
        <v>46081</v>
      </c>
      <c r="Q284" s="17">
        <v>1</v>
      </c>
      <c r="R284" s="1">
        <f t="shared" si="6"/>
        <v>3</v>
      </c>
      <c r="S284" s="1">
        <v>3</v>
      </c>
      <c r="T284" s="6">
        <v>0</v>
      </c>
      <c r="U284" s="6">
        <v>0</v>
      </c>
      <c r="V284" s="6">
        <v>42142.29</v>
      </c>
      <c r="W284" s="6">
        <v>48885.06</v>
      </c>
      <c r="AA284" s="6">
        <v>14047.43</v>
      </c>
    </row>
    <row r="285" spans="1:27" x14ac:dyDescent="0.25">
      <c r="A285" s="5" t="s">
        <v>278</v>
      </c>
      <c r="B285" s="15" t="s">
        <v>86</v>
      </c>
      <c r="C285" s="1" t="s">
        <v>279</v>
      </c>
      <c r="H285" s="1" t="s">
        <v>275</v>
      </c>
      <c r="I285" s="35" t="s">
        <v>280</v>
      </c>
      <c r="J285" s="1" t="s">
        <v>125</v>
      </c>
      <c r="K285" s="21" t="s">
        <v>70</v>
      </c>
      <c r="L285" s="1">
        <v>1</v>
      </c>
      <c r="M285" s="1" t="s">
        <v>90</v>
      </c>
      <c r="N285" s="1" t="s">
        <v>90</v>
      </c>
      <c r="O285" s="16">
        <v>46058</v>
      </c>
      <c r="P285" s="16">
        <v>46081</v>
      </c>
      <c r="Q285" s="17">
        <v>1</v>
      </c>
      <c r="R285" s="1">
        <f t="shared" si="6"/>
        <v>2</v>
      </c>
      <c r="S285" s="1">
        <v>2</v>
      </c>
      <c r="T285" s="6">
        <v>0</v>
      </c>
      <c r="U285" s="6">
        <v>0</v>
      </c>
      <c r="V285" s="6">
        <v>26832.18</v>
      </c>
      <c r="W285" s="6">
        <v>31125.33</v>
      </c>
      <c r="AA285" s="6">
        <v>13416.09</v>
      </c>
    </row>
    <row r="286" spans="1:27" x14ac:dyDescent="0.25">
      <c r="A286" s="5" t="s">
        <v>278</v>
      </c>
      <c r="B286" s="15" t="s">
        <v>86</v>
      </c>
      <c r="C286" s="1" t="s">
        <v>279</v>
      </c>
      <c r="H286" s="1" t="s">
        <v>275</v>
      </c>
      <c r="I286" s="35" t="s">
        <v>280</v>
      </c>
      <c r="J286" s="1" t="s">
        <v>125</v>
      </c>
      <c r="K286" s="21" t="s">
        <v>71</v>
      </c>
      <c r="L286" s="1">
        <v>1</v>
      </c>
      <c r="M286" s="1" t="s">
        <v>90</v>
      </c>
      <c r="N286" s="1" t="s">
        <v>90</v>
      </c>
      <c r="O286" s="16">
        <v>46058</v>
      </c>
      <c r="P286" s="16">
        <v>46081</v>
      </c>
      <c r="Q286" s="17">
        <v>1</v>
      </c>
      <c r="R286" s="1">
        <f t="shared" si="6"/>
        <v>3</v>
      </c>
      <c r="S286" s="1">
        <v>3</v>
      </c>
      <c r="T286" s="6">
        <v>0</v>
      </c>
      <c r="U286" s="6">
        <v>0</v>
      </c>
      <c r="V286" s="6">
        <v>44315.88</v>
      </c>
      <c r="W286" s="6">
        <v>51406.42</v>
      </c>
      <c r="AA286" s="6">
        <v>14771.96</v>
      </c>
    </row>
    <row r="287" spans="1:27" x14ac:dyDescent="0.25">
      <c r="A287" s="5" t="s">
        <v>278</v>
      </c>
      <c r="B287" s="15" t="s">
        <v>86</v>
      </c>
      <c r="C287" s="1" t="s">
        <v>279</v>
      </c>
      <c r="H287" s="1" t="s">
        <v>275</v>
      </c>
      <c r="I287" s="35" t="s">
        <v>280</v>
      </c>
      <c r="J287" s="1" t="s">
        <v>125</v>
      </c>
      <c r="K287" s="2" t="s">
        <v>68</v>
      </c>
      <c r="L287" s="1">
        <v>1</v>
      </c>
      <c r="M287" s="1" t="s">
        <v>90</v>
      </c>
      <c r="N287" s="1" t="s">
        <v>90</v>
      </c>
      <c r="O287" s="16">
        <v>46058</v>
      </c>
      <c r="P287" s="16">
        <v>46081</v>
      </c>
      <c r="Q287" s="17">
        <v>1</v>
      </c>
      <c r="R287" s="1">
        <f t="shared" si="6"/>
        <v>2</v>
      </c>
      <c r="S287" s="1">
        <v>2</v>
      </c>
      <c r="T287" s="6">
        <v>0</v>
      </c>
      <c r="U287" s="6">
        <v>0</v>
      </c>
      <c r="V287" s="6">
        <v>27125.48</v>
      </c>
      <c r="W287" s="6">
        <v>31465.56</v>
      </c>
      <c r="AA287" s="6">
        <v>13562.74</v>
      </c>
    </row>
    <row r="288" spans="1:27" x14ac:dyDescent="0.25">
      <c r="A288" s="5" t="s">
        <v>278</v>
      </c>
      <c r="B288" s="15" t="s">
        <v>86</v>
      </c>
      <c r="C288" s="1" t="s">
        <v>279</v>
      </c>
      <c r="H288" s="1" t="s">
        <v>275</v>
      </c>
      <c r="I288" s="35" t="s">
        <v>280</v>
      </c>
      <c r="J288" s="1" t="s">
        <v>125</v>
      </c>
      <c r="K288" s="21" t="s">
        <v>84</v>
      </c>
      <c r="L288" s="1">
        <v>1</v>
      </c>
      <c r="M288" s="1" t="s">
        <v>90</v>
      </c>
      <c r="N288" s="1" t="s">
        <v>90</v>
      </c>
      <c r="O288" s="16">
        <v>46058</v>
      </c>
      <c r="P288" s="16">
        <v>46081</v>
      </c>
      <c r="Q288" s="17">
        <v>1</v>
      </c>
      <c r="R288" s="1">
        <f t="shared" si="6"/>
        <v>2</v>
      </c>
      <c r="S288" s="1">
        <v>2</v>
      </c>
      <c r="T288" s="6">
        <v>0</v>
      </c>
      <c r="U288" s="6">
        <v>0</v>
      </c>
      <c r="V288" s="6">
        <v>28263.08</v>
      </c>
      <c r="W288" s="6">
        <v>32785.17</v>
      </c>
      <c r="AA288" s="6">
        <v>14131.54</v>
      </c>
    </row>
    <row r="289" spans="1:27" x14ac:dyDescent="0.25">
      <c r="A289" s="5" t="s">
        <v>278</v>
      </c>
      <c r="B289" s="15" t="s">
        <v>86</v>
      </c>
      <c r="C289" s="1" t="s">
        <v>279</v>
      </c>
      <c r="H289" s="1" t="s">
        <v>275</v>
      </c>
      <c r="I289" s="35" t="s">
        <v>280</v>
      </c>
      <c r="J289" s="1" t="s">
        <v>125</v>
      </c>
      <c r="K289" s="21" t="s">
        <v>66</v>
      </c>
      <c r="L289" s="1">
        <v>1</v>
      </c>
      <c r="M289" s="1" t="s">
        <v>90</v>
      </c>
      <c r="N289" s="1" t="s">
        <v>90</v>
      </c>
      <c r="O289" s="16">
        <v>46058</v>
      </c>
      <c r="P289" s="16">
        <v>46081</v>
      </c>
      <c r="Q289" s="17">
        <v>1</v>
      </c>
      <c r="R289" s="1">
        <f t="shared" si="6"/>
        <v>2</v>
      </c>
      <c r="S289" s="1">
        <v>2</v>
      </c>
      <c r="T289" s="6">
        <v>0</v>
      </c>
      <c r="U289" s="6">
        <v>0</v>
      </c>
      <c r="V289" s="6">
        <v>29543.919999999998</v>
      </c>
      <c r="W289" s="6">
        <v>34270.949999999997</v>
      </c>
      <c r="AA289" s="6">
        <v>14771.96</v>
      </c>
    </row>
    <row r="290" spans="1:27" x14ac:dyDescent="0.25">
      <c r="A290" s="5" t="s">
        <v>278</v>
      </c>
      <c r="B290" s="15" t="s">
        <v>86</v>
      </c>
      <c r="C290" s="1" t="s">
        <v>279</v>
      </c>
      <c r="H290" s="1" t="s">
        <v>275</v>
      </c>
      <c r="I290" s="35" t="s">
        <v>280</v>
      </c>
      <c r="J290" s="1" t="s">
        <v>125</v>
      </c>
      <c r="K290" s="21" t="s">
        <v>82</v>
      </c>
      <c r="L290" s="1">
        <v>1</v>
      </c>
      <c r="M290" s="1" t="s">
        <v>90</v>
      </c>
      <c r="N290" s="1" t="s">
        <v>90</v>
      </c>
      <c r="O290" s="16">
        <v>46058</v>
      </c>
      <c r="P290" s="16">
        <v>46081</v>
      </c>
      <c r="Q290" s="17">
        <v>1</v>
      </c>
      <c r="R290" s="1">
        <f t="shared" si="6"/>
        <v>1</v>
      </c>
      <c r="S290" s="1">
        <v>1</v>
      </c>
      <c r="T290" s="6">
        <v>0</v>
      </c>
      <c r="U290" s="6">
        <v>0</v>
      </c>
      <c r="V290" s="6">
        <v>15117.38</v>
      </c>
      <c r="W290" s="6">
        <v>17536.16</v>
      </c>
      <c r="AA290" s="6">
        <v>15117.38</v>
      </c>
    </row>
    <row r="291" spans="1:27" x14ac:dyDescent="0.25">
      <c r="A291" s="5" t="s">
        <v>278</v>
      </c>
      <c r="B291" s="15" t="s">
        <v>86</v>
      </c>
      <c r="C291" s="1" t="s">
        <v>279</v>
      </c>
      <c r="H291" s="1" t="s">
        <v>275</v>
      </c>
      <c r="I291" s="35" t="s">
        <v>280</v>
      </c>
      <c r="J291" s="1" t="s">
        <v>125</v>
      </c>
      <c r="K291" s="21" t="s">
        <v>81</v>
      </c>
      <c r="L291" s="1">
        <v>1</v>
      </c>
      <c r="M291" s="1" t="s">
        <v>90</v>
      </c>
      <c r="N291" s="1" t="s">
        <v>90</v>
      </c>
      <c r="O291" s="16">
        <v>46058</v>
      </c>
      <c r="P291" s="16">
        <v>46081</v>
      </c>
      <c r="Q291" s="17">
        <v>1</v>
      </c>
      <c r="R291" s="1">
        <f t="shared" si="6"/>
        <v>1</v>
      </c>
      <c r="S291" s="1">
        <v>1</v>
      </c>
      <c r="T291" s="6">
        <v>0</v>
      </c>
      <c r="U291" s="6">
        <v>0</v>
      </c>
      <c r="V291" s="6">
        <v>13131.54</v>
      </c>
      <c r="W291" s="6">
        <v>15232.59</v>
      </c>
      <c r="AA291" s="6">
        <v>13131.54</v>
      </c>
    </row>
    <row r="292" spans="1:27" x14ac:dyDescent="0.25">
      <c r="A292" s="5" t="s">
        <v>278</v>
      </c>
      <c r="B292" s="15" t="s">
        <v>86</v>
      </c>
      <c r="C292" s="1" t="s">
        <v>279</v>
      </c>
      <c r="H292" s="1" t="s">
        <v>275</v>
      </c>
      <c r="I292" s="35" t="s">
        <v>280</v>
      </c>
      <c r="J292" s="1" t="s">
        <v>125</v>
      </c>
      <c r="K292" s="22" t="s">
        <v>72</v>
      </c>
      <c r="L292" s="1">
        <v>1</v>
      </c>
      <c r="M292" s="1" t="s">
        <v>90</v>
      </c>
      <c r="N292" s="1" t="s">
        <v>90</v>
      </c>
      <c r="O292" s="16">
        <v>46058</v>
      </c>
      <c r="P292" s="16">
        <v>46081</v>
      </c>
      <c r="Q292" s="17">
        <v>1</v>
      </c>
      <c r="R292" s="1">
        <f t="shared" ref="R292:R323" si="7">S292</f>
        <v>3</v>
      </c>
      <c r="S292" s="1">
        <v>3</v>
      </c>
      <c r="T292" s="6">
        <v>0</v>
      </c>
      <c r="U292" s="6">
        <v>0</v>
      </c>
      <c r="V292" s="6">
        <v>51238.5</v>
      </c>
      <c r="W292" s="6">
        <v>59436.66</v>
      </c>
      <c r="AA292" s="6">
        <v>17079.5</v>
      </c>
    </row>
    <row r="293" spans="1:27" x14ac:dyDescent="0.25">
      <c r="A293" s="5" t="s">
        <v>278</v>
      </c>
      <c r="B293" s="15" t="s">
        <v>86</v>
      </c>
      <c r="C293" s="1" t="s">
        <v>279</v>
      </c>
      <c r="H293" s="1" t="s">
        <v>275</v>
      </c>
      <c r="I293" s="35" t="s">
        <v>280</v>
      </c>
      <c r="J293" s="1" t="s">
        <v>125</v>
      </c>
      <c r="K293" s="21" t="s">
        <v>72</v>
      </c>
      <c r="L293" s="1">
        <v>1</v>
      </c>
      <c r="M293" s="1" t="s">
        <v>90</v>
      </c>
      <c r="N293" s="1" t="s">
        <v>90</v>
      </c>
      <c r="O293" s="16">
        <v>46058</v>
      </c>
      <c r="P293" s="16">
        <v>46081</v>
      </c>
      <c r="Q293" s="17">
        <v>1</v>
      </c>
      <c r="R293" s="1">
        <f t="shared" si="7"/>
        <v>6</v>
      </c>
      <c r="S293" s="1">
        <v>6</v>
      </c>
      <c r="T293" s="6">
        <v>0</v>
      </c>
      <c r="U293" s="6">
        <v>0</v>
      </c>
      <c r="V293" s="6">
        <v>118894.98</v>
      </c>
      <c r="W293" s="6">
        <v>137918.18</v>
      </c>
      <c r="AA293" s="6">
        <v>19815.830000000002</v>
      </c>
    </row>
    <row r="294" spans="1:27" x14ac:dyDescent="0.25">
      <c r="A294" s="5" t="s">
        <v>278</v>
      </c>
      <c r="B294" s="15" t="s">
        <v>86</v>
      </c>
      <c r="C294" s="1" t="s">
        <v>279</v>
      </c>
      <c r="H294" s="1" t="s">
        <v>275</v>
      </c>
      <c r="I294" s="35" t="s">
        <v>280</v>
      </c>
      <c r="J294" s="1" t="s">
        <v>125</v>
      </c>
      <c r="K294" s="21" t="s">
        <v>59</v>
      </c>
      <c r="L294" s="1">
        <v>1</v>
      </c>
      <c r="M294" s="1" t="s">
        <v>90</v>
      </c>
      <c r="N294" s="1" t="s">
        <v>90</v>
      </c>
      <c r="O294" s="16">
        <v>46058</v>
      </c>
      <c r="P294" s="16">
        <v>46081</v>
      </c>
      <c r="Q294" s="17">
        <v>1</v>
      </c>
      <c r="R294" s="1">
        <f t="shared" si="7"/>
        <v>2</v>
      </c>
      <c r="S294" s="1">
        <v>2</v>
      </c>
      <c r="T294" s="6">
        <v>0</v>
      </c>
      <c r="U294" s="6">
        <v>0</v>
      </c>
      <c r="V294" s="6">
        <v>27950.18</v>
      </c>
      <c r="W294" s="6">
        <v>32422.21</v>
      </c>
      <c r="AA294" s="6">
        <v>13975.09</v>
      </c>
    </row>
    <row r="295" spans="1:27" x14ac:dyDescent="0.25">
      <c r="A295" s="5" t="s">
        <v>278</v>
      </c>
      <c r="B295" s="15" t="s">
        <v>86</v>
      </c>
      <c r="C295" s="1" t="s">
        <v>279</v>
      </c>
      <c r="H295" s="1" t="s">
        <v>275</v>
      </c>
      <c r="I295" s="35" t="s">
        <v>280</v>
      </c>
      <c r="J295" s="1" t="s">
        <v>125</v>
      </c>
      <c r="K295" s="21" t="s">
        <v>77</v>
      </c>
      <c r="L295" s="1">
        <v>1</v>
      </c>
      <c r="M295" s="1" t="s">
        <v>90</v>
      </c>
      <c r="N295" s="1" t="s">
        <v>90</v>
      </c>
      <c r="O295" s="16">
        <v>46058</v>
      </c>
      <c r="P295" s="16">
        <v>46081</v>
      </c>
      <c r="Q295" s="17">
        <v>1</v>
      </c>
      <c r="R295" s="1">
        <f t="shared" si="7"/>
        <v>2</v>
      </c>
      <c r="S295" s="1">
        <v>2</v>
      </c>
      <c r="T295" s="6">
        <v>0</v>
      </c>
      <c r="U295" s="6">
        <v>0</v>
      </c>
      <c r="V295" s="6">
        <v>26587.54</v>
      </c>
      <c r="W295" s="6">
        <v>30841.55</v>
      </c>
      <c r="AA295" s="6">
        <v>13293.77</v>
      </c>
    </row>
    <row r="296" spans="1:27" x14ac:dyDescent="0.25">
      <c r="A296" s="5" t="s">
        <v>278</v>
      </c>
      <c r="B296" s="15" t="s">
        <v>86</v>
      </c>
      <c r="C296" s="1" t="s">
        <v>279</v>
      </c>
      <c r="H296" s="1" t="s">
        <v>275</v>
      </c>
      <c r="I296" s="35" t="s">
        <v>280</v>
      </c>
      <c r="J296" s="1" t="s">
        <v>125</v>
      </c>
      <c r="K296" s="2" t="s">
        <v>80</v>
      </c>
      <c r="L296" s="1">
        <v>1</v>
      </c>
      <c r="M296" s="1" t="s">
        <v>90</v>
      </c>
      <c r="N296" s="1" t="s">
        <v>90</v>
      </c>
      <c r="O296" s="16">
        <v>46058</v>
      </c>
      <c r="P296" s="16">
        <v>46081</v>
      </c>
      <c r="Q296" s="17">
        <v>1</v>
      </c>
      <c r="R296" s="1">
        <f t="shared" si="7"/>
        <v>6</v>
      </c>
      <c r="S296" s="1">
        <v>6</v>
      </c>
      <c r="T296" s="6">
        <v>0</v>
      </c>
      <c r="U296" s="6">
        <v>0</v>
      </c>
      <c r="V296" s="6">
        <v>93231.9</v>
      </c>
      <c r="W296" s="6">
        <v>108149</v>
      </c>
      <c r="AA296" s="6">
        <v>15538.65</v>
      </c>
    </row>
    <row r="297" spans="1:27" x14ac:dyDescent="0.25">
      <c r="A297" s="5" t="s">
        <v>278</v>
      </c>
      <c r="B297" s="15" t="s">
        <v>86</v>
      </c>
      <c r="C297" s="1" t="s">
        <v>279</v>
      </c>
      <c r="H297" s="1" t="s">
        <v>275</v>
      </c>
      <c r="I297" s="35" t="s">
        <v>280</v>
      </c>
      <c r="J297" s="1" t="s">
        <v>125</v>
      </c>
      <c r="K297" s="21" t="s">
        <v>69</v>
      </c>
      <c r="L297" s="1">
        <v>1</v>
      </c>
      <c r="M297" s="1" t="s">
        <v>90</v>
      </c>
      <c r="N297" s="1" t="s">
        <v>90</v>
      </c>
      <c r="O297" s="16">
        <v>46058</v>
      </c>
      <c r="P297" s="16">
        <v>46081</v>
      </c>
      <c r="Q297" s="17">
        <v>1</v>
      </c>
      <c r="R297" s="1">
        <f t="shared" si="7"/>
        <v>2</v>
      </c>
      <c r="S297" s="1">
        <v>2</v>
      </c>
      <c r="T297" s="6">
        <v>0</v>
      </c>
      <c r="U297" s="6">
        <v>0</v>
      </c>
      <c r="V297" s="6">
        <v>24832.06</v>
      </c>
      <c r="W297" s="6">
        <v>28805.19</v>
      </c>
      <c r="AA297" s="6">
        <v>12416.03</v>
      </c>
    </row>
    <row r="298" spans="1:27" x14ac:dyDescent="0.25">
      <c r="A298" s="5" t="s">
        <v>281</v>
      </c>
      <c r="B298" s="15" t="s">
        <v>86</v>
      </c>
      <c r="C298" s="1" t="s">
        <v>279</v>
      </c>
      <c r="H298" s="1" t="s">
        <v>275</v>
      </c>
      <c r="I298" s="35" t="s">
        <v>282</v>
      </c>
      <c r="J298" s="1" t="s">
        <v>125</v>
      </c>
      <c r="K298" s="21" t="s">
        <v>47</v>
      </c>
      <c r="L298" s="1">
        <v>1</v>
      </c>
      <c r="M298" s="1" t="s">
        <v>90</v>
      </c>
      <c r="N298" s="1" t="s">
        <v>90</v>
      </c>
      <c r="O298" s="16">
        <v>46082</v>
      </c>
      <c r="P298" s="16">
        <v>46387</v>
      </c>
      <c r="Q298" s="17">
        <v>10.166666666666666</v>
      </c>
      <c r="R298" s="1">
        <f t="shared" si="7"/>
        <v>2</v>
      </c>
      <c r="S298" s="1">
        <v>2</v>
      </c>
      <c r="T298" s="6">
        <v>0</v>
      </c>
      <c r="U298" s="6">
        <v>0</v>
      </c>
      <c r="V298" s="6">
        <v>26043</v>
      </c>
      <c r="W298" s="6">
        <v>30209.88</v>
      </c>
      <c r="AA298" s="6">
        <v>13021.5</v>
      </c>
    </row>
    <row r="299" spans="1:27" x14ac:dyDescent="0.25">
      <c r="A299" s="5" t="s">
        <v>281</v>
      </c>
      <c r="B299" s="15" t="s">
        <v>86</v>
      </c>
      <c r="C299" s="1" t="s">
        <v>279</v>
      </c>
      <c r="H299" s="1" t="s">
        <v>275</v>
      </c>
      <c r="I299" s="35" t="s">
        <v>282</v>
      </c>
      <c r="J299" s="1" t="s">
        <v>125</v>
      </c>
      <c r="K299" s="21" t="s">
        <v>47</v>
      </c>
      <c r="L299" s="1">
        <v>1</v>
      </c>
      <c r="M299" s="1" t="s">
        <v>90</v>
      </c>
      <c r="N299" s="1" t="s">
        <v>90</v>
      </c>
      <c r="O299" s="16">
        <v>46082</v>
      </c>
      <c r="P299" s="16">
        <v>46387</v>
      </c>
      <c r="Q299" s="17">
        <v>10.166666666666666</v>
      </c>
      <c r="R299" s="1">
        <f t="shared" si="7"/>
        <v>34</v>
      </c>
      <c r="S299" s="1">
        <v>34</v>
      </c>
      <c r="T299" s="6">
        <v>0</v>
      </c>
      <c r="U299" s="6">
        <v>0</v>
      </c>
      <c r="V299" s="6">
        <v>465806.8</v>
      </c>
      <c r="W299" s="6">
        <v>540335.89</v>
      </c>
      <c r="AA299" s="6">
        <v>13700.2</v>
      </c>
    </row>
    <row r="300" spans="1:27" x14ac:dyDescent="0.25">
      <c r="A300" s="5" t="s">
        <v>281</v>
      </c>
      <c r="B300" s="15" t="s">
        <v>86</v>
      </c>
      <c r="C300" s="1" t="s">
        <v>279</v>
      </c>
      <c r="H300" s="1" t="s">
        <v>275</v>
      </c>
      <c r="I300" s="35" t="s">
        <v>282</v>
      </c>
      <c r="J300" s="1" t="s">
        <v>125</v>
      </c>
      <c r="K300" s="22" t="s">
        <v>73</v>
      </c>
      <c r="L300" s="1">
        <v>1</v>
      </c>
      <c r="M300" s="1" t="s">
        <v>90</v>
      </c>
      <c r="N300" s="1" t="s">
        <v>90</v>
      </c>
      <c r="O300" s="16">
        <v>46082</v>
      </c>
      <c r="P300" s="16">
        <v>46387</v>
      </c>
      <c r="Q300" s="17">
        <v>10.166666666666666</v>
      </c>
      <c r="R300" s="1">
        <f t="shared" si="7"/>
        <v>2</v>
      </c>
      <c r="S300" s="1">
        <v>2</v>
      </c>
      <c r="T300" s="6">
        <v>0</v>
      </c>
      <c r="U300" s="6">
        <v>0</v>
      </c>
      <c r="V300" s="6">
        <v>30193.4</v>
      </c>
      <c r="W300" s="6">
        <v>35024.339999999997</v>
      </c>
      <c r="AA300" s="6">
        <v>15096.7</v>
      </c>
    </row>
    <row r="301" spans="1:27" x14ac:dyDescent="0.25">
      <c r="A301" s="5" t="s">
        <v>281</v>
      </c>
      <c r="B301" s="15" t="s">
        <v>86</v>
      </c>
      <c r="C301" s="1" t="s">
        <v>279</v>
      </c>
      <c r="H301" s="1" t="s">
        <v>275</v>
      </c>
      <c r="I301" s="35" t="s">
        <v>282</v>
      </c>
      <c r="J301" s="1" t="s">
        <v>125</v>
      </c>
      <c r="K301" s="21" t="s">
        <v>72</v>
      </c>
      <c r="L301" s="1">
        <v>1</v>
      </c>
      <c r="M301" s="1" t="s">
        <v>90</v>
      </c>
      <c r="N301" s="1" t="s">
        <v>90</v>
      </c>
      <c r="O301" s="16">
        <v>46082</v>
      </c>
      <c r="P301" s="16">
        <v>46387</v>
      </c>
      <c r="Q301" s="17">
        <v>10.166666666666666</v>
      </c>
      <c r="R301" s="1">
        <f t="shared" si="7"/>
        <v>2</v>
      </c>
      <c r="S301" s="1">
        <v>2</v>
      </c>
      <c r="T301" s="6">
        <v>0</v>
      </c>
      <c r="U301" s="6">
        <v>0</v>
      </c>
      <c r="V301" s="6">
        <v>36159.300000000003</v>
      </c>
      <c r="W301" s="6">
        <v>41944.79</v>
      </c>
      <c r="AA301" s="6">
        <v>18079.650000000001</v>
      </c>
    </row>
    <row r="302" spans="1:27" x14ac:dyDescent="0.25">
      <c r="A302" s="5" t="s">
        <v>281</v>
      </c>
      <c r="B302" s="15" t="s">
        <v>86</v>
      </c>
      <c r="C302" s="1" t="s">
        <v>279</v>
      </c>
      <c r="H302" s="1" t="s">
        <v>275</v>
      </c>
      <c r="I302" s="35" t="s">
        <v>282</v>
      </c>
      <c r="J302" s="1" t="s">
        <v>125</v>
      </c>
      <c r="K302" s="21" t="s">
        <v>83</v>
      </c>
      <c r="L302" s="1">
        <v>1</v>
      </c>
      <c r="M302" s="1" t="s">
        <v>90</v>
      </c>
      <c r="N302" s="1" t="s">
        <v>90</v>
      </c>
      <c r="O302" s="16">
        <v>46082</v>
      </c>
      <c r="P302" s="16">
        <v>46387</v>
      </c>
      <c r="Q302" s="17">
        <v>10.166666666666666</v>
      </c>
      <c r="R302" s="1">
        <f t="shared" si="7"/>
        <v>1</v>
      </c>
      <c r="S302" s="1">
        <v>1</v>
      </c>
      <c r="T302" s="6">
        <v>0</v>
      </c>
      <c r="U302" s="6">
        <v>0</v>
      </c>
      <c r="V302" s="6">
        <v>14925.11</v>
      </c>
      <c r="W302" s="6">
        <v>17313.13</v>
      </c>
      <c r="AA302" s="6">
        <v>14925.11</v>
      </c>
    </row>
    <row r="303" spans="1:27" x14ac:dyDescent="0.25">
      <c r="A303" s="5" t="s">
        <v>281</v>
      </c>
      <c r="B303" s="15" t="s">
        <v>86</v>
      </c>
      <c r="C303" s="1" t="s">
        <v>279</v>
      </c>
      <c r="H303" s="1" t="s">
        <v>275</v>
      </c>
      <c r="I303" s="35" t="s">
        <v>282</v>
      </c>
      <c r="J303" s="1" t="s">
        <v>125</v>
      </c>
      <c r="K303" s="21" t="s">
        <v>81</v>
      </c>
      <c r="L303" s="1">
        <v>1</v>
      </c>
      <c r="M303" s="1" t="s">
        <v>90</v>
      </c>
      <c r="N303" s="1" t="s">
        <v>90</v>
      </c>
      <c r="O303" s="16">
        <v>46082</v>
      </c>
      <c r="P303" s="16">
        <v>46387</v>
      </c>
      <c r="Q303" s="17">
        <v>10.166666666666666</v>
      </c>
      <c r="R303" s="1">
        <f t="shared" si="7"/>
        <v>2</v>
      </c>
      <c r="S303" s="1">
        <v>2</v>
      </c>
      <c r="T303" s="6">
        <v>0</v>
      </c>
      <c r="U303" s="6">
        <v>0</v>
      </c>
      <c r="V303" s="6">
        <v>28263.08</v>
      </c>
      <c r="W303" s="6">
        <v>32785.17</v>
      </c>
      <c r="AA303" s="6">
        <v>14131.54</v>
      </c>
    </row>
    <row r="304" spans="1:27" x14ac:dyDescent="0.25">
      <c r="A304" s="5" t="s">
        <v>281</v>
      </c>
      <c r="B304" s="15" t="s">
        <v>86</v>
      </c>
      <c r="C304" s="1" t="s">
        <v>279</v>
      </c>
      <c r="H304" s="1" t="s">
        <v>275</v>
      </c>
      <c r="I304" s="35" t="s">
        <v>282</v>
      </c>
      <c r="J304" s="1" t="s">
        <v>125</v>
      </c>
      <c r="K304" s="21" t="s">
        <v>75</v>
      </c>
      <c r="L304" s="1">
        <v>1</v>
      </c>
      <c r="M304" s="1" t="s">
        <v>90</v>
      </c>
      <c r="N304" s="1" t="s">
        <v>90</v>
      </c>
      <c r="O304" s="16">
        <v>46082</v>
      </c>
      <c r="P304" s="16">
        <v>46387</v>
      </c>
      <c r="Q304" s="17">
        <v>10.166666666666666</v>
      </c>
      <c r="R304" s="1">
        <f t="shared" si="7"/>
        <v>4</v>
      </c>
      <c r="S304" s="1">
        <v>4</v>
      </c>
      <c r="T304" s="6">
        <v>0</v>
      </c>
      <c r="U304" s="6">
        <v>0</v>
      </c>
      <c r="V304" s="6">
        <v>63370.32</v>
      </c>
      <c r="W304" s="6">
        <v>73509.570000000007</v>
      </c>
      <c r="AA304" s="6">
        <v>15842.58</v>
      </c>
    </row>
    <row r="305" spans="1:27" x14ac:dyDescent="0.25">
      <c r="A305" s="5" t="s">
        <v>281</v>
      </c>
      <c r="B305" s="15" t="s">
        <v>86</v>
      </c>
      <c r="C305" s="1" t="s">
        <v>279</v>
      </c>
      <c r="H305" s="1" t="s">
        <v>275</v>
      </c>
      <c r="I305" s="35" t="s">
        <v>282</v>
      </c>
      <c r="J305" s="1" t="s">
        <v>125</v>
      </c>
      <c r="K305" s="21" t="s">
        <v>75</v>
      </c>
      <c r="L305" s="1">
        <v>1</v>
      </c>
      <c r="M305" s="1" t="s">
        <v>90</v>
      </c>
      <c r="N305" s="1" t="s">
        <v>90</v>
      </c>
      <c r="O305" s="16">
        <v>46082</v>
      </c>
      <c r="P305" s="16">
        <v>46387</v>
      </c>
      <c r="Q305" s="17">
        <v>10.166666666666666</v>
      </c>
      <c r="R305" s="1">
        <f t="shared" si="7"/>
        <v>6</v>
      </c>
      <c r="S305" s="1">
        <v>6</v>
      </c>
      <c r="T305" s="6">
        <v>0</v>
      </c>
      <c r="U305" s="6">
        <v>0</v>
      </c>
      <c r="V305" s="6">
        <v>95055.48</v>
      </c>
      <c r="W305" s="6">
        <v>110264.36</v>
      </c>
      <c r="AA305" s="6">
        <v>15842.58</v>
      </c>
    </row>
    <row r="306" spans="1:27" x14ac:dyDescent="0.25">
      <c r="A306" s="5" t="s">
        <v>281</v>
      </c>
      <c r="B306" s="15" t="s">
        <v>86</v>
      </c>
      <c r="C306" s="1" t="s">
        <v>279</v>
      </c>
      <c r="H306" s="1" t="s">
        <v>275</v>
      </c>
      <c r="I306" s="35" t="s">
        <v>282</v>
      </c>
      <c r="J306" s="1" t="s">
        <v>125</v>
      </c>
      <c r="K306" s="21" t="s">
        <v>67</v>
      </c>
      <c r="L306" s="1">
        <v>1</v>
      </c>
      <c r="M306" s="1" t="s">
        <v>90</v>
      </c>
      <c r="N306" s="1" t="s">
        <v>90</v>
      </c>
      <c r="O306" s="16">
        <v>46082</v>
      </c>
      <c r="P306" s="16">
        <v>46387</v>
      </c>
      <c r="Q306" s="17">
        <v>10.166666666666666</v>
      </c>
      <c r="R306" s="1">
        <f t="shared" si="7"/>
        <v>3</v>
      </c>
      <c r="S306" s="1">
        <v>3</v>
      </c>
      <c r="T306" s="6">
        <v>0</v>
      </c>
      <c r="U306" s="6">
        <v>0</v>
      </c>
      <c r="V306" s="6">
        <v>44884.59</v>
      </c>
      <c r="W306" s="6">
        <v>52066.12</v>
      </c>
      <c r="AA306" s="6">
        <v>14961.53</v>
      </c>
    </row>
    <row r="307" spans="1:27" x14ac:dyDescent="0.25">
      <c r="A307" s="5" t="s">
        <v>281</v>
      </c>
      <c r="B307" s="15" t="s">
        <v>86</v>
      </c>
      <c r="C307" s="1" t="s">
        <v>279</v>
      </c>
      <c r="H307" s="1" t="s">
        <v>275</v>
      </c>
      <c r="I307" s="35" t="s">
        <v>282</v>
      </c>
      <c r="J307" s="1" t="s">
        <v>125</v>
      </c>
      <c r="K307" s="21" t="s">
        <v>61</v>
      </c>
      <c r="L307" s="1">
        <v>1</v>
      </c>
      <c r="M307" s="1" t="s">
        <v>90</v>
      </c>
      <c r="N307" s="1" t="s">
        <v>90</v>
      </c>
      <c r="O307" s="16">
        <v>46082</v>
      </c>
      <c r="P307" s="16">
        <v>46387</v>
      </c>
      <c r="Q307" s="17">
        <v>10.166666666666666</v>
      </c>
      <c r="R307" s="1">
        <f t="shared" si="7"/>
        <v>4</v>
      </c>
      <c r="S307" s="1">
        <v>4</v>
      </c>
      <c r="T307" s="6">
        <v>0</v>
      </c>
      <c r="U307" s="6">
        <v>0</v>
      </c>
      <c r="V307" s="6">
        <v>58662.48</v>
      </c>
      <c r="W307" s="6">
        <v>68048.479999999996</v>
      </c>
      <c r="AA307" s="6">
        <v>14665.62</v>
      </c>
    </row>
    <row r="308" spans="1:27" x14ac:dyDescent="0.25">
      <c r="A308" s="5" t="s">
        <v>281</v>
      </c>
      <c r="B308" s="15" t="s">
        <v>86</v>
      </c>
      <c r="C308" s="1" t="s">
        <v>279</v>
      </c>
      <c r="H308" s="1" t="s">
        <v>275</v>
      </c>
      <c r="I308" s="35" t="s">
        <v>282</v>
      </c>
      <c r="J308" s="1" t="s">
        <v>125</v>
      </c>
      <c r="K308" s="21" t="s">
        <v>76</v>
      </c>
      <c r="L308" s="1">
        <v>1</v>
      </c>
      <c r="M308" s="1" t="s">
        <v>90</v>
      </c>
      <c r="N308" s="1" t="s">
        <v>90</v>
      </c>
      <c r="O308" s="16">
        <v>46082</v>
      </c>
      <c r="P308" s="16">
        <v>46387</v>
      </c>
      <c r="Q308" s="17">
        <v>10.166666666666666</v>
      </c>
      <c r="R308" s="1">
        <f t="shared" si="7"/>
        <v>4</v>
      </c>
      <c r="S308" s="1">
        <v>4</v>
      </c>
      <c r="T308" s="6">
        <v>0</v>
      </c>
      <c r="U308" s="6">
        <v>0</v>
      </c>
      <c r="V308" s="6">
        <v>62755.72</v>
      </c>
      <c r="W308" s="6">
        <v>72796.639999999999</v>
      </c>
      <c r="AA308" s="6">
        <v>15688.93</v>
      </c>
    </row>
    <row r="309" spans="1:27" x14ac:dyDescent="0.25">
      <c r="A309" s="5" t="s">
        <v>281</v>
      </c>
      <c r="B309" s="15" t="s">
        <v>86</v>
      </c>
      <c r="C309" s="1" t="s">
        <v>279</v>
      </c>
      <c r="H309" s="1" t="s">
        <v>275</v>
      </c>
      <c r="I309" s="35" t="s">
        <v>282</v>
      </c>
      <c r="J309" s="1" t="s">
        <v>125</v>
      </c>
      <c r="K309" s="2" t="s">
        <v>56</v>
      </c>
      <c r="L309" s="1">
        <v>1</v>
      </c>
      <c r="M309" s="1" t="s">
        <v>90</v>
      </c>
      <c r="N309" s="1" t="s">
        <v>90</v>
      </c>
      <c r="O309" s="16">
        <v>46082</v>
      </c>
      <c r="P309" s="16">
        <v>46387</v>
      </c>
      <c r="Q309" s="17">
        <v>10.166666666666666</v>
      </c>
      <c r="R309" s="1">
        <f t="shared" si="7"/>
        <v>2</v>
      </c>
      <c r="S309" s="1">
        <v>2</v>
      </c>
      <c r="T309" s="6">
        <v>0</v>
      </c>
      <c r="U309" s="6">
        <v>0</v>
      </c>
      <c r="V309" s="6">
        <v>26043</v>
      </c>
      <c r="W309" s="6">
        <v>30209.88</v>
      </c>
      <c r="AA309" s="6">
        <v>13021.5</v>
      </c>
    </row>
    <row r="310" spans="1:27" x14ac:dyDescent="0.25">
      <c r="A310" s="5" t="s">
        <v>281</v>
      </c>
      <c r="B310" s="15" t="s">
        <v>86</v>
      </c>
      <c r="C310" s="1" t="s">
        <v>279</v>
      </c>
      <c r="H310" s="1" t="s">
        <v>275</v>
      </c>
      <c r="I310" s="35" t="s">
        <v>282</v>
      </c>
      <c r="J310" s="1" t="s">
        <v>125</v>
      </c>
      <c r="K310" s="21" t="s">
        <v>62</v>
      </c>
      <c r="L310" s="1">
        <v>1</v>
      </c>
      <c r="M310" s="1" t="s">
        <v>90</v>
      </c>
      <c r="N310" s="1" t="s">
        <v>90</v>
      </c>
      <c r="O310" s="16">
        <v>46082</v>
      </c>
      <c r="P310" s="16">
        <v>46387</v>
      </c>
      <c r="Q310" s="17">
        <v>10.166666666666666</v>
      </c>
      <c r="R310" s="1">
        <f t="shared" si="7"/>
        <v>2</v>
      </c>
      <c r="S310" s="1">
        <v>2</v>
      </c>
      <c r="T310" s="6">
        <v>0</v>
      </c>
      <c r="U310" s="6">
        <v>0</v>
      </c>
      <c r="V310" s="6">
        <v>26832.18</v>
      </c>
      <c r="W310" s="6">
        <v>31125.33</v>
      </c>
      <c r="AA310" s="6">
        <v>13416.09</v>
      </c>
    </row>
    <row r="311" spans="1:27" x14ac:dyDescent="0.25">
      <c r="A311" s="5" t="s">
        <v>281</v>
      </c>
      <c r="B311" s="15" t="s">
        <v>86</v>
      </c>
      <c r="C311" s="1" t="s">
        <v>279</v>
      </c>
      <c r="H311" s="1" t="s">
        <v>275</v>
      </c>
      <c r="I311" s="35" t="s">
        <v>282</v>
      </c>
      <c r="J311" s="1" t="s">
        <v>125</v>
      </c>
      <c r="K311" s="21" t="s">
        <v>79</v>
      </c>
      <c r="L311" s="1">
        <v>1</v>
      </c>
      <c r="M311" s="1" t="s">
        <v>90</v>
      </c>
      <c r="N311" s="1" t="s">
        <v>90</v>
      </c>
      <c r="O311" s="16">
        <v>46082</v>
      </c>
      <c r="P311" s="16">
        <v>46387</v>
      </c>
      <c r="Q311" s="17">
        <v>10.166666666666666</v>
      </c>
      <c r="R311" s="1">
        <f t="shared" si="7"/>
        <v>3</v>
      </c>
      <c r="S311" s="1">
        <v>3</v>
      </c>
      <c r="T311" s="6">
        <v>0</v>
      </c>
      <c r="U311" s="6">
        <v>0</v>
      </c>
      <c r="V311" s="6">
        <v>41222.910000000003</v>
      </c>
      <c r="W311" s="6">
        <v>47818.58</v>
      </c>
      <c r="AA311" s="6">
        <v>13740.97</v>
      </c>
    </row>
    <row r="312" spans="1:27" x14ac:dyDescent="0.25">
      <c r="A312" s="5" t="s">
        <v>281</v>
      </c>
      <c r="B312" s="15" t="s">
        <v>86</v>
      </c>
      <c r="C312" s="1" t="s">
        <v>279</v>
      </c>
      <c r="H312" s="1" t="s">
        <v>275</v>
      </c>
      <c r="I312" s="35" t="s">
        <v>282</v>
      </c>
      <c r="J312" s="1" t="s">
        <v>125</v>
      </c>
      <c r="K312" s="21" t="s">
        <v>64</v>
      </c>
      <c r="L312" s="1">
        <v>1</v>
      </c>
      <c r="M312" s="1" t="s">
        <v>90</v>
      </c>
      <c r="N312" s="1" t="s">
        <v>90</v>
      </c>
      <c r="O312" s="16">
        <v>46082</v>
      </c>
      <c r="P312" s="16">
        <v>46387</v>
      </c>
      <c r="Q312" s="17">
        <v>10.166666666666666</v>
      </c>
      <c r="R312" s="1">
        <f t="shared" si="7"/>
        <v>2</v>
      </c>
      <c r="S312" s="1">
        <v>2</v>
      </c>
      <c r="T312" s="6">
        <v>0</v>
      </c>
      <c r="U312" s="6">
        <v>0</v>
      </c>
      <c r="V312" s="6">
        <v>27311.84</v>
      </c>
      <c r="W312" s="6">
        <v>31681.73</v>
      </c>
      <c r="AA312" s="6">
        <v>13655.92</v>
      </c>
    </row>
    <row r="313" spans="1:27" x14ac:dyDescent="0.25">
      <c r="A313" s="5" t="s">
        <v>281</v>
      </c>
      <c r="B313" s="15" t="s">
        <v>86</v>
      </c>
      <c r="C313" s="1" t="s">
        <v>279</v>
      </c>
      <c r="H313" s="1" t="s">
        <v>275</v>
      </c>
      <c r="I313" s="35" t="s">
        <v>282</v>
      </c>
      <c r="J313" s="1" t="s">
        <v>125</v>
      </c>
      <c r="K313" s="21" t="s">
        <v>57</v>
      </c>
      <c r="L313" s="1">
        <v>1</v>
      </c>
      <c r="M313" s="1" t="s">
        <v>90</v>
      </c>
      <c r="N313" s="1" t="s">
        <v>90</v>
      </c>
      <c r="O313" s="16">
        <v>46082</v>
      </c>
      <c r="P313" s="16">
        <v>46387</v>
      </c>
      <c r="Q313" s="17">
        <v>10.166666666666666</v>
      </c>
      <c r="R313" s="1">
        <f t="shared" si="7"/>
        <v>6</v>
      </c>
      <c r="S313" s="1">
        <v>6</v>
      </c>
      <c r="T313" s="6">
        <v>0</v>
      </c>
      <c r="U313" s="6">
        <v>0</v>
      </c>
      <c r="V313" s="6">
        <v>83549.7</v>
      </c>
      <c r="W313" s="6">
        <v>96917.65</v>
      </c>
      <c r="AA313" s="6">
        <v>13924.95</v>
      </c>
    </row>
    <row r="314" spans="1:27" x14ac:dyDescent="0.25">
      <c r="A314" s="5" t="s">
        <v>281</v>
      </c>
      <c r="B314" s="15" t="s">
        <v>86</v>
      </c>
      <c r="C314" s="1" t="s">
        <v>279</v>
      </c>
      <c r="H314" s="1" t="s">
        <v>275</v>
      </c>
      <c r="I314" s="35" t="s">
        <v>282</v>
      </c>
      <c r="J314" s="1" t="s">
        <v>125</v>
      </c>
      <c r="K314" s="21" t="s">
        <v>60</v>
      </c>
      <c r="L314" s="1">
        <v>1</v>
      </c>
      <c r="M314" s="1" t="s">
        <v>90</v>
      </c>
      <c r="N314" s="1" t="s">
        <v>90</v>
      </c>
      <c r="O314" s="16">
        <v>46082</v>
      </c>
      <c r="P314" s="16">
        <v>46387</v>
      </c>
      <c r="Q314" s="17">
        <v>10.166666666666666</v>
      </c>
      <c r="R314" s="1">
        <f t="shared" si="7"/>
        <v>6</v>
      </c>
      <c r="S314" s="1">
        <v>6</v>
      </c>
      <c r="T314" s="6">
        <v>0</v>
      </c>
      <c r="U314" s="6">
        <v>0</v>
      </c>
      <c r="V314" s="6">
        <v>88411.98</v>
      </c>
      <c r="W314" s="6">
        <v>102557.9</v>
      </c>
      <c r="AA314" s="6">
        <v>14735.33</v>
      </c>
    </row>
    <row r="315" spans="1:27" x14ac:dyDescent="0.25">
      <c r="A315" s="5" t="s">
        <v>281</v>
      </c>
      <c r="B315" s="15" t="s">
        <v>86</v>
      </c>
      <c r="C315" s="1" t="s">
        <v>279</v>
      </c>
      <c r="H315" s="1" t="s">
        <v>275</v>
      </c>
      <c r="I315" s="35" t="s">
        <v>282</v>
      </c>
      <c r="J315" s="1" t="s">
        <v>125</v>
      </c>
      <c r="K315" s="2" t="s">
        <v>63</v>
      </c>
      <c r="L315" s="1">
        <v>1</v>
      </c>
      <c r="M315" s="1" t="s">
        <v>90</v>
      </c>
      <c r="N315" s="1" t="s">
        <v>90</v>
      </c>
      <c r="O315" s="16">
        <v>46082</v>
      </c>
      <c r="P315" s="16">
        <v>46387</v>
      </c>
      <c r="Q315" s="17">
        <v>10.166666666666666</v>
      </c>
      <c r="R315" s="1">
        <f t="shared" si="7"/>
        <v>2</v>
      </c>
      <c r="S315" s="1">
        <v>2</v>
      </c>
      <c r="T315" s="6">
        <v>0</v>
      </c>
      <c r="U315" s="6">
        <v>0</v>
      </c>
      <c r="V315" s="6">
        <v>27010.12</v>
      </c>
      <c r="W315" s="6">
        <v>31331.74</v>
      </c>
      <c r="AA315" s="6">
        <v>13505.06</v>
      </c>
    </row>
    <row r="316" spans="1:27" x14ac:dyDescent="0.25">
      <c r="A316" s="5" t="s">
        <v>281</v>
      </c>
      <c r="B316" s="15" t="s">
        <v>86</v>
      </c>
      <c r="C316" s="1" t="s">
        <v>279</v>
      </c>
      <c r="H316" s="1" t="s">
        <v>275</v>
      </c>
      <c r="I316" s="35" t="s">
        <v>282</v>
      </c>
      <c r="J316" s="1" t="s">
        <v>125</v>
      </c>
      <c r="K316" s="21" t="s">
        <v>58</v>
      </c>
      <c r="L316" s="1">
        <v>1</v>
      </c>
      <c r="M316" s="1" t="s">
        <v>90</v>
      </c>
      <c r="N316" s="1" t="s">
        <v>90</v>
      </c>
      <c r="O316" s="16">
        <v>46082</v>
      </c>
      <c r="P316" s="16">
        <v>46387</v>
      </c>
      <c r="Q316" s="17">
        <v>10.166666666666666</v>
      </c>
      <c r="R316" s="1">
        <f t="shared" si="7"/>
        <v>2</v>
      </c>
      <c r="S316" s="1">
        <v>2</v>
      </c>
      <c r="T316" s="6">
        <v>0</v>
      </c>
      <c r="U316" s="6">
        <v>0</v>
      </c>
      <c r="V316" s="6">
        <v>27662.48</v>
      </c>
      <c r="W316" s="6">
        <v>32088.48</v>
      </c>
      <c r="AA316" s="6">
        <v>13831.24</v>
      </c>
    </row>
    <row r="317" spans="1:27" x14ac:dyDescent="0.25">
      <c r="A317" s="5" t="s">
        <v>281</v>
      </c>
      <c r="B317" s="15" t="s">
        <v>86</v>
      </c>
      <c r="C317" s="1" t="s">
        <v>279</v>
      </c>
      <c r="H317" s="1" t="s">
        <v>275</v>
      </c>
      <c r="I317" s="35" t="s">
        <v>282</v>
      </c>
      <c r="J317" s="1" t="s">
        <v>125</v>
      </c>
      <c r="K317" s="21" t="s">
        <v>65</v>
      </c>
      <c r="L317" s="1">
        <v>1</v>
      </c>
      <c r="M317" s="1" t="s">
        <v>90</v>
      </c>
      <c r="N317" s="1" t="s">
        <v>90</v>
      </c>
      <c r="O317" s="16">
        <v>46082</v>
      </c>
      <c r="P317" s="16">
        <v>46387</v>
      </c>
      <c r="Q317" s="17">
        <v>10.166666666666666</v>
      </c>
      <c r="R317" s="1">
        <f t="shared" si="7"/>
        <v>2</v>
      </c>
      <c r="S317" s="1">
        <v>2</v>
      </c>
      <c r="T317" s="6">
        <v>0</v>
      </c>
      <c r="U317" s="6">
        <v>0</v>
      </c>
      <c r="V317" s="6">
        <v>27010.14</v>
      </c>
      <c r="W317" s="6">
        <v>31331.759999999998</v>
      </c>
      <c r="AA317" s="6">
        <v>13505.07</v>
      </c>
    </row>
    <row r="318" spans="1:27" x14ac:dyDescent="0.25">
      <c r="A318" s="5" t="s">
        <v>281</v>
      </c>
      <c r="B318" s="15" t="s">
        <v>86</v>
      </c>
      <c r="C318" s="1" t="s">
        <v>279</v>
      </c>
      <c r="H318" s="1" t="s">
        <v>275</v>
      </c>
      <c r="I318" s="35" t="s">
        <v>282</v>
      </c>
      <c r="J318" s="1" t="s">
        <v>125</v>
      </c>
      <c r="K318" s="2" t="s">
        <v>49</v>
      </c>
      <c r="L318" s="1">
        <v>1</v>
      </c>
      <c r="M318" s="1" t="s">
        <v>90</v>
      </c>
      <c r="N318" s="1" t="s">
        <v>90</v>
      </c>
      <c r="O318" s="16">
        <v>46082</v>
      </c>
      <c r="P318" s="16">
        <v>46387</v>
      </c>
      <c r="Q318" s="17">
        <v>10.166666666666666</v>
      </c>
      <c r="R318" s="1">
        <f t="shared" si="7"/>
        <v>6</v>
      </c>
      <c r="S318" s="1">
        <v>6</v>
      </c>
      <c r="T318" s="6">
        <v>0</v>
      </c>
      <c r="U318" s="6">
        <v>0</v>
      </c>
      <c r="V318" s="6">
        <v>96318.24</v>
      </c>
      <c r="W318" s="6">
        <v>111729.16</v>
      </c>
      <c r="AA318" s="6">
        <v>16053.04</v>
      </c>
    </row>
    <row r="319" spans="1:27" x14ac:dyDescent="0.25">
      <c r="A319" s="5" t="s">
        <v>281</v>
      </c>
      <c r="B319" s="15" t="s">
        <v>86</v>
      </c>
      <c r="C319" s="1" t="s">
        <v>279</v>
      </c>
      <c r="H319" s="1" t="s">
        <v>275</v>
      </c>
      <c r="I319" s="35" t="s">
        <v>282</v>
      </c>
      <c r="J319" s="1" t="s">
        <v>125</v>
      </c>
      <c r="K319" s="21" t="s">
        <v>82</v>
      </c>
      <c r="L319" s="1">
        <v>1</v>
      </c>
      <c r="M319" s="1" t="s">
        <v>90</v>
      </c>
      <c r="N319" s="1" t="s">
        <v>90</v>
      </c>
      <c r="O319" s="16">
        <v>46082</v>
      </c>
      <c r="P319" s="16">
        <v>46387</v>
      </c>
      <c r="Q319" s="17">
        <v>10.166666666666666</v>
      </c>
      <c r="R319" s="1">
        <f t="shared" si="7"/>
        <v>4</v>
      </c>
      <c r="S319" s="1">
        <v>4</v>
      </c>
      <c r="T319" s="6">
        <v>0</v>
      </c>
      <c r="U319" s="6">
        <v>0</v>
      </c>
      <c r="V319" s="6">
        <v>64140.36</v>
      </c>
      <c r="W319" s="6">
        <v>74402.820000000007</v>
      </c>
      <c r="AA319" s="6">
        <v>16035.09</v>
      </c>
    </row>
    <row r="320" spans="1:27" x14ac:dyDescent="0.25">
      <c r="A320" s="5" t="s">
        <v>281</v>
      </c>
      <c r="B320" s="15" t="s">
        <v>86</v>
      </c>
      <c r="C320" s="1" t="s">
        <v>279</v>
      </c>
      <c r="H320" s="1" t="s">
        <v>275</v>
      </c>
      <c r="I320" s="35" t="s">
        <v>282</v>
      </c>
      <c r="J320" s="1" t="s">
        <v>125</v>
      </c>
      <c r="K320" s="21" t="s">
        <v>78</v>
      </c>
      <c r="L320" s="1">
        <v>1</v>
      </c>
      <c r="M320" s="1" t="s">
        <v>90</v>
      </c>
      <c r="N320" s="1" t="s">
        <v>90</v>
      </c>
      <c r="O320" s="16">
        <v>46082</v>
      </c>
      <c r="P320" s="16">
        <v>46387</v>
      </c>
      <c r="Q320" s="17">
        <v>10.166666666666666</v>
      </c>
      <c r="R320" s="1">
        <f t="shared" si="7"/>
        <v>6</v>
      </c>
      <c r="S320" s="1">
        <v>6</v>
      </c>
      <c r="T320" s="6">
        <v>0</v>
      </c>
      <c r="U320" s="6">
        <v>0</v>
      </c>
      <c r="V320" s="6">
        <v>75282.720000000001</v>
      </c>
      <c r="W320" s="6">
        <v>87327.96</v>
      </c>
      <c r="AA320" s="6">
        <v>12547.12</v>
      </c>
    </row>
    <row r="321" spans="1:27" x14ac:dyDescent="0.25">
      <c r="A321" s="5" t="s">
        <v>281</v>
      </c>
      <c r="B321" s="15" t="s">
        <v>86</v>
      </c>
      <c r="C321" s="1" t="s">
        <v>279</v>
      </c>
      <c r="H321" s="1" t="s">
        <v>275</v>
      </c>
      <c r="I321" s="35" t="s">
        <v>282</v>
      </c>
      <c r="J321" s="1" t="s">
        <v>125</v>
      </c>
      <c r="K321" s="2" t="s">
        <v>50</v>
      </c>
      <c r="L321" s="1">
        <v>1</v>
      </c>
      <c r="M321" s="1" t="s">
        <v>90</v>
      </c>
      <c r="N321" s="1" t="s">
        <v>90</v>
      </c>
      <c r="O321" s="16">
        <v>46082</v>
      </c>
      <c r="P321" s="16">
        <v>46387</v>
      </c>
      <c r="Q321" s="17">
        <v>10.166666666666666</v>
      </c>
      <c r="R321" s="1">
        <f t="shared" si="7"/>
        <v>4</v>
      </c>
      <c r="S321" s="1">
        <v>4</v>
      </c>
      <c r="T321" s="6">
        <v>0</v>
      </c>
      <c r="U321" s="6">
        <v>0</v>
      </c>
      <c r="V321" s="6">
        <v>57298.76</v>
      </c>
      <c r="W321" s="6">
        <v>66466.559999999998</v>
      </c>
      <c r="AA321" s="6">
        <v>14324.69</v>
      </c>
    </row>
    <row r="322" spans="1:27" x14ac:dyDescent="0.25">
      <c r="A322" s="5" t="s">
        <v>281</v>
      </c>
      <c r="B322" s="15" t="s">
        <v>86</v>
      </c>
      <c r="C322" s="1" t="s">
        <v>279</v>
      </c>
      <c r="H322" s="1" t="s">
        <v>275</v>
      </c>
      <c r="I322" s="35" t="s">
        <v>282</v>
      </c>
      <c r="J322" s="1" t="s">
        <v>125</v>
      </c>
      <c r="K322" s="21" t="s">
        <v>74</v>
      </c>
      <c r="L322" s="1">
        <v>1</v>
      </c>
      <c r="M322" s="1" t="s">
        <v>90</v>
      </c>
      <c r="N322" s="1" t="s">
        <v>90</v>
      </c>
      <c r="O322" s="16">
        <v>46082</v>
      </c>
      <c r="P322" s="16">
        <v>46387</v>
      </c>
      <c r="Q322" s="17">
        <v>10.166666666666666</v>
      </c>
      <c r="R322" s="1">
        <f t="shared" si="7"/>
        <v>3</v>
      </c>
      <c r="S322" s="1">
        <v>3</v>
      </c>
      <c r="T322" s="6">
        <v>0</v>
      </c>
      <c r="U322" s="6">
        <v>0</v>
      </c>
      <c r="V322" s="6">
        <v>42142.29</v>
      </c>
      <c r="W322" s="6">
        <v>48885.06</v>
      </c>
      <c r="AA322" s="6">
        <v>14047.43</v>
      </c>
    </row>
    <row r="323" spans="1:27" x14ac:dyDescent="0.25">
      <c r="A323" s="5" t="s">
        <v>281</v>
      </c>
      <c r="B323" s="15" t="s">
        <v>86</v>
      </c>
      <c r="C323" s="1" t="s">
        <v>279</v>
      </c>
      <c r="H323" s="1" t="s">
        <v>275</v>
      </c>
      <c r="I323" s="35" t="s">
        <v>282</v>
      </c>
      <c r="J323" s="1" t="s">
        <v>125</v>
      </c>
      <c r="K323" s="21" t="s">
        <v>70</v>
      </c>
      <c r="L323" s="1">
        <v>1</v>
      </c>
      <c r="M323" s="1" t="s">
        <v>90</v>
      </c>
      <c r="N323" s="1" t="s">
        <v>90</v>
      </c>
      <c r="O323" s="16">
        <v>46082</v>
      </c>
      <c r="P323" s="16">
        <v>46387</v>
      </c>
      <c r="Q323" s="17">
        <v>10.166666666666666</v>
      </c>
      <c r="R323" s="1">
        <f t="shared" si="7"/>
        <v>2</v>
      </c>
      <c r="S323" s="1">
        <v>2</v>
      </c>
      <c r="T323" s="6">
        <v>0</v>
      </c>
      <c r="U323" s="6">
        <v>0</v>
      </c>
      <c r="V323" s="6">
        <v>26832.18</v>
      </c>
      <c r="W323" s="6">
        <v>31125.33</v>
      </c>
      <c r="AA323" s="6">
        <v>13416.09</v>
      </c>
    </row>
    <row r="324" spans="1:27" x14ac:dyDescent="0.25">
      <c r="A324" s="5" t="s">
        <v>281</v>
      </c>
      <c r="B324" s="15" t="s">
        <v>86</v>
      </c>
      <c r="C324" s="1" t="s">
        <v>279</v>
      </c>
      <c r="H324" s="1" t="s">
        <v>275</v>
      </c>
      <c r="I324" s="35" t="s">
        <v>282</v>
      </c>
      <c r="J324" s="1" t="s">
        <v>125</v>
      </c>
      <c r="K324" s="21" t="s">
        <v>71</v>
      </c>
      <c r="L324" s="1">
        <v>1</v>
      </c>
      <c r="M324" s="1" t="s">
        <v>90</v>
      </c>
      <c r="N324" s="1" t="s">
        <v>90</v>
      </c>
      <c r="O324" s="16">
        <v>46082</v>
      </c>
      <c r="P324" s="16">
        <v>46387</v>
      </c>
      <c r="Q324" s="17">
        <v>10.166666666666666</v>
      </c>
      <c r="R324" s="1">
        <f t="shared" ref="R324:R355" si="8">S324</f>
        <v>3</v>
      </c>
      <c r="S324" s="1">
        <v>3</v>
      </c>
      <c r="T324" s="6">
        <v>0</v>
      </c>
      <c r="U324" s="6">
        <v>0</v>
      </c>
      <c r="V324" s="6">
        <v>44315.88</v>
      </c>
      <c r="W324" s="6">
        <v>51406.42</v>
      </c>
      <c r="AA324" s="6">
        <v>14771.96</v>
      </c>
    </row>
    <row r="325" spans="1:27" x14ac:dyDescent="0.25">
      <c r="A325" s="5" t="s">
        <v>281</v>
      </c>
      <c r="B325" s="15" t="s">
        <v>86</v>
      </c>
      <c r="C325" s="1" t="s">
        <v>279</v>
      </c>
      <c r="H325" s="1" t="s">
        <v>275</v>
      </c>
      <c r="I325" s="35" t="s">
        <v>282</v>
      </c>
      <c r="J325" s="1" t="s">
        <v>125</v>
      </c>
      <c r="K325" s="2" t="s">
        <v>68</v>
      </c>
      <c r="L325" s="1">
        <v>1</v>
      </c>
      <c r="M325" s="1" t="s">
        <v>90</v>
      </c>
      <c r="N325" s="1" t="s">
        <v>90</v>
      </c>
      <c r="O325" s="16">
        <v>46082</v>
      </c>
      <c r="P325" s="16">
        <v>46387</v>
      </c>
      <c r="Q325" s="17">
        <v>10.166666666666666</v>
      </c>
      <c r="R325" s="1">
        <f t="shared" si="8"/>
        <v>2</v>
      </c>
      <c r="S325" s="1">
        <v>2</v>
      </c>
      <c r="T325" s="6">
        <v>0</v>
      </c>
      <c r="U325" s="6">
        <v>0</v>
      </c>
      <c r="V325" s="6">
        <v>27125.48</v>
      </c>
      <c r="W325" s="6">
        <v>31465.56</v>
      </c>
      <c r="AA325" s="6">
        <v>13562.74</v>
      </c>
    </row>
    <row r="326" spans="1:27" x14ac:dyDescent="0.25">
      <c r="A326" s="5" t="s">
        <v>281</v>
      </c>
      <c r="B326" s="15" t="s">
        <v>86</v>
      </c>
      <c r="C326" s="1" t="s">
        <v>279</v>
      </c>
      <c r="H326" s="1" t="s">
        <v>275</v>
      </c>
      <c r="I326" s="35" t="s">
        <v>282</v>
      </c>
      <c r="J326" s="1" t="s">
        <v>125</v>
      </c>
      <c r="K326" s="21" t="s">
        <v>84</v>
      </c>
      <c r="L326" s="1">
        <v>1</v>
      </c>
      <c r="M326" s="1" t="s">
        <v>90</v>
      </c>
      <c r="N326" s="1" t="s">
        <v>90</v>
      </c>
      <c r="O326" s="16">
        <v>46082</v>
      </c>
      <c r="P326" s="16">
        <v>46387</v>
      </c>
      <c r="Q326" s="17">
        <v>10.166666666666666</v>
      </c>
      <c r="R326" s="1">
        <f t="shared" si="8"/>
        <v>2</v>
      </c>
      <c r="S326" s="1">
        <v>2</v>
      </c>
      <c r="T326" s="6">
        <v>0</v>
      </c>
      <c r="U326" s="6">
        <v>0</v>
      </c>
      <c r="V326" s="6">
        <v>28263.08</v>
      </c>
      <c r="W326" s="6">
        <v>32785.17</v>
      </c>
      <c r="AA326" s="6">
        <v>14131.54</v>
      </c>
    </row>
    <row r="327" spans="1:27" x14ac:dyDescent="0.25">
      <c r="A327" s="5" t="s">
        <v>281</v>
      </c>
      <c r="B327" s="15" t="s">
        <v>86</v>
      </c>
      <c r="C327" s="1" t="s">
        <v>279</v>
      </c>
      <c r="H327" s="1" t="s">
        <v>275</v>
      </c>
      <c r="I327" s="35" t="s">
        <v>282</v>
      </c>
      <c r="J327" s="1" t="s">
        <v>125</v>
      </c>
      <c r="K327" s="21" t="s">
        <v>66</v>
      </c>
      <c r="L327" s="1">
        <v>1</v>
      </c>
      <c r="M327" s="1" t="s">
        <v>90</v>
      </c>
      <c r="N327" s="1" t="s">
        <v>90</v>
      </c>
      <c r="O327" s="16">
        <v>46082</v>
      </c>
      <c r="P327" s="16">
        <v>46387</v>
      </c>
      <c r="Q327" s="17">
        <v>10.166666666666666</v>
      </c>
      <c r="R327" s="1">
        <f t="shared" si="8"/>
        <v>2</v>
      </c>
      <c r="S327" s="1">
        <v>2</v>
      </c>
      <c r="T327" s="6">
        <v>0</v>
      </c>
      <c r="U327" s="6">
        <v>0</v>
      </c>
      <c r="V327" s="6">
        <v>29543.919999999998</v>
      </c>
      <c r="W327" s="6">
        <v>34270.949999999997</v>
      </c>
      <c r="AA327" s="6">
        <v>14771.96</v>
      </c>
    </row>
    <row r="328" spans="1:27" x14ac:dyDescent="0.25">
      <c r="A328" s="5" t="s">
        <v>281</v>
      </c>
      <c r="B328" s="15" t="s">
        <v>86</v>
      </c>
      <c r="C328" s="1" t="s">
        <v>279</v>
      </c>
      <c r="H328" s="1" t="s">
        <v>275</v>
      </c>
      <c r="I328" s="35" t="s">
        <v>282</v>
      </c>
      <c r="J328" s="1" t="s">
        <v>125</v>
      </c>
      <c r="K328" s="21" t="s">
        <v>82</v>
      </c>
      <c r="L328" s="1">
        <v>1</v>
      </c>
      <c r="M328" s="1" t="s">
        <v>90</v>
      </c>
      <c r="N328" s="1" t="s">
        <v>90</v>
      </c>
      <c r="O328" s="16">
        <v>46082</v>
      </c>
      <c r="P328" s="16">
        <v>46387</v>
      </c>
      <c r="Q328" s="17">
        <v>10.166666666666666</v>
      </c>
      <c r="R328" s="1">
        <f t="shared" si="8"/>
        <v>1</v>
      </c>
      <c r="S328" s="1">
        <v>1</v>
      </c>
      <c r="T328" s="6">
        <v>0</v>
      </c>
      <c r="U328" s="6">
        <v>0</v>
      </c>
      <c r="V328" s="6">
        <v>15117.38</v>
      </c>
      <c r="W328" s="6">
        <v>17536.16</v>
      </c>
      <c r="AA328" s="6">
        <v>15117.38</v>
      </c>
    </row>
    <row r="329" spans="1:27" x14ac:dyDescent="0.25">
      <c r="A329" s="5" t="s">
        <v>281</v>
      </c>
      <c r="B329" s="15" t="s">
        <v>86</v>
      </c>
      <c r="C329" s="1" t="s">
        <v>279</v>
      </c>
      <c r="H329" s="1" t="s">
        <v>275</v>
      </c>
      <c r="I329" s="35" t="s">
        <v>282</v>
      </c>
      <c r="J329" s="1" t="s">
        <v>125</v>
      </c>
      <c r="K329" s="21" t="s">
        <v>81</v>
      </c>
      <c r="L329" s="1">
        <v>1</v>
      </c>
      <c r="M329" s="1" t="s">
        <v>90</v>
      </c>
      <c r="N329" s="1" t="s">
        <v>90</v>
      </c>
      <c r="O329" s="16">
        <v>46082</v>
      </c>
      <c r="P329" s="16">
        <v>46387</v>
      </c>
      <c r="Q329" s="17">
        <v>10.166666666666666</v>
      </c>
      <c r="R329" s="1">
        <f t="shared" si="8"/>
        <v>1</v>
      </c>
      <c r="S329" s="1">
        <v>1</v>
      </c>
      <c r="T329" s="6">
        <v>0</v>
      </c>
      <c r="U329" s="6">
        <v>0</v>
      </c>
      <c r="V329" s="6">
        <v>13131.54</v>
      </c>
      <c r="W329" s="6">
        <v>15232.59</v>
      </c>
      <c r="AA329" s="6">
        <v>13131.54</v>
      </c>
    </row>
    <row r="330" spans="1:27" x14ac:dyDescent="0.25">
      <c r="A330" s="5" t="s">
        <v>281</v>
      </c>
      <c r="B330" s="15" t="s">
        <v>86</v>
      </c>
      <c r="C330" s="1" t="s">
        <v>279</v>
      </c>
      <c r="H330" s="1" t="s">
        <v>275</v>
      </c>
      <c r="I330" s="35" t="s">
        <v>282</v>
      </c>
      <c r="J330" s="1" t="s">
        <v>125</v>
      </c>
      <c r="K330" s="21" t="s">
        <v>72</v>
      </c>
      <c r="L330" s="1">
        <v>1</v>
      </c>
      <c r="M330" s="1" t="s">
        <v>90</v>
      </c>
      <c r="N330" s="1" t="s">
        <v>90</v>
      </c>
      <c r="O330" s="16">
        <v>46082</v>
      </c>
      <c r="P330" s="16">
        <v>46387</v>
      </c>
      <c r="Q330" s="17">
        <v>10.166666666666666</v>
      </c>
      <c r="R330" s="1">
        <f t="shared" si="8"/>
        <v>3</v>
      </c>
      <c r="S330" s="1">
        <v>3</v>
      </c>
      <c r="T330" s="6">
        <v>0</v>
      </c>
      <c r="U330" s="6">
        <v>0</v>
      </c>
      <c r="V330" s="6">
        <v>51238.5</v>
      </c>
      <c r="W330" s="6">
        <v>59436.66</v>
      </c>
      <c r="AA330" s="6">
        <v>17079.5</v>
      </c>
    </row>
    <row r="331" spans="1:27" x14ac:dyDescent="0.25">
      <c r="A331" s="5" t="s">
        <v>281</v>
      </c>
      <c r="B331" s="15" t="s">
        <v>86</v>
      </c>
      <c r="C331" s="1" t="s">
        <v>279</v>
      </c>
      <c r="H331" s="1" t="s">
        <v>275</v>
      </c>
      <c r="I331" s="35" t="s">
        <v>282</v>
      </c>
      <c r="J331" s="1" t="s">
        <v>125</v>
      </c>
      <c r="K331" s="21" t="s">
        <v>72</v>
      </c>
      <c r="L331" s="1">
        <v>1</v>
      </c>
      <c r="M331" s="1" t="s">
        <v>90</v>
      </c>
      <c r="N331" s="1" t="s">
        <v>90</v>
      </c>
      <c r="O331" s="16">
        <v>46082</v>
      </c>
      <c r="P331" s="16">
        <v>46387</v>
      </c>
      <c r="Q331" s="17">
        <v>10.166666666666666</v>
      </c>
      <c r="R331" s="1">
        <f t="shared" si="8"/>
        <v>6</v>
      </c>
      <c r="S331" s="1">
        <v>6</v>
      </c>
      <c r="T331" s="6">
        <v>0</v>
      </c>
      <c r="U331" s="6">
        <v>0</v>
      </c>
      <c r="V331" s="6">
        <v>118894.98</v>
      </c>
      <c r="W331" s="6">
        <v>137918.18</v>
      </c>
      <c r="AA331" s="6">
        <v>19815.830000000002</v>
      </c>
    </row>
    <row r="332" spans="1:27" x14ac:dyDescent="0.25">
      <c r="A332" s="5" t="s">
        <v>281</v>
      </c>
      <c r="B332" s="15" t="s">
        <v>86</v>
      </c>
      <c r="C332" s="1" t="s">
        <v>279</v>
      </c>
      <c r="H332" s="1" t="s">
        <v>275</v>
      </c>
      <c r="I332" s="35" t="s">
        <v>282</v>
      </c>
      <c r="J332" s="1" t="s">
        <v>125</v>
      </c>
      <c r="K332" s="21" t="s">
        <v>59</v>
      </c>
      <c r="L332" s="1">
        <v>1</v>
      </c>
      <c r="M332" s="1" t="s">
        <v>90</v>
      </c>
      <c r="N332" s="1" t="s">
        <v>90</v>
      </c>
      <c r="O332" s="16">
        <v>46082</v>
      </c>
      <c r="P332" s="16">
        <v>46387</v>
      </c>
      <c r="Q332" s="17">
        <v>10.166666666666666</v>
      </c>
      <c r="R332" s="1">
        <f t="shared" si="8"/>
        <v>2</v>
      </c>
      <c r="S332" s="1">
        <v>2</v>
      </c>
      <c r="T332" s="6">
        <v>0</v>
      </c>
      <c r="U332" s="6">
        <v>0</v>
      </c>
      <c r="V332" s="6">
        <v>27950.18</v>
      </c>
      <c r="W332" s="6">
        <v>32422.21</v>
      </c>
      <c r="AA332" s="6">
        <v>13975.09</v>
      </c>
    </row>
    <row r="333" spans="1:27" x14ac:dyDescent="0.25">
      <c r="A333" s="5" t="s">
        <v>281</v>
      </c>
      <c r="B333" s="15" t="s">
        <v>86</v>
      </c>
      <c r="C333" s="1" t="s">
        <v>279</v>
      </c>
      <c r="H333" s="1" t="s">
        <v>275</v>
      </c>
      <c r="I333" s="35" t="s">
        <v>282</v>
      </c>
      <c r="J333" s="1" t="s">
        <v>125</v>
      </c>
      <c r="K333" s="21" t="s">
        <v>77</v>
      </c>
      <c r="L333" s="1">
        <v>1</v>
      </c>
      <c r="M333" s="1" t="s">
        <v>90</v>
      </c>
      <c r="N333" s="1" t="s">
        <v>90</v>
      </c>
      <c r="O333" s="16">
        <v>46082</v>
      </c>
      <c r="P333" s="16">
        <v>46387</v>
      </c>
      <c r="Q333" s="17">
        <v>10.166666666666666</v>
      </c>
      <c r="R333" s="1">
        <f t="shared" si="8"/>
        <v>2</v>
      </c>
      <c r="S333" s="1">
        <v>2</v>
      </c>
      <c r="T333" s="6">
        <v>0</v>
      </c>
      <c r="U333" s="6">
        <v>0</v>
      </c>
      <c r="V333" s="6">
        <v>26587.54</v>
      </c>
      <c r="W333" s="6">
        <v>30841.55</v>
      </c>
      <c r="AA333" s="6">
        <v>13293.77</v>
      </c>
    </row>
    <row r="334" spans="1:27" x14ac:dyDescent="0.25">
      <c r="A334" s="5" t="s">
        <v>281</v>
      </c>
      <c r="B334" s="15" t="s">
        <v>86</v>
      </c>
      <c r="C334" s="1" t="s">
        <v>279</v>
      </c>
      <c r="H334" s="1" t="s">
        <v>275</v>
      </c>
      <c r="I334" s="35" t="s">
        <v>282</v>
      </c>
      <c r="J334" s="1" t="s">
        <v>125</v>
      </c>
      <c r="K334" s="2" t="s">
        <v>80</v>
      </c>
      <c r="L334" s="1">
        <v>1</v>
      </c>
      <c r="M334" s="1" t="s">
        <v>90</v>
      </c>
      <c r="N334" s="1" t="s">
        <v>90</v>
      </c>
      <c r="O334" s="16">
        <v>46082</v>
      </c>
      <c r="P334" s="16">
        <v>46387</v>
      </c>
      <c r="Q334" s="17">
        <v>10.166666666666666</v>
      </c>
      <c r="R334" s="1">
        <f t="shared" si="8"/>
        <v>6</v>
      </c>
      <c r="S334" s="1">
        <v>6</v>
      </c>
      <c r="T334" s="6">
        <v>0</v>
      </c>
      <c r="U334" s="6">
        <v>0</v>
      </c>
      <c r="V334" s="6">
        <v>93231.9</v>
      </c>
      <c r="W334" s="6">
        <v>108149</v>
      </c>
      <c r="AA334" s="6">
        <v>15538.65</v>
      </c>
    </row>
    <row r="335" spans="1:27" x14ac:dyDescent="0.25">
      <c r="A335" s="5" t="s">
        <v>281</v>
      </c>
      <c r="B335" s="15" t="s">
        <v>86</v>
      </c>
      <c r="C335" s="1" t="s">
        <v>279</v>
      </c>
      <c r="H335" s="1" t="s">
        <v>275</v>
      </c>
      <c r="I335" s="35" t="s">
        <v>282</v>
      </c>
      <c r="J335" s="1" t="s">
        <v>125</v>
      </c>
      <c r="K335" s="21" t="s">
        <v>69</v>
      </c>
      <c r="L335" s="1">
        <v>1</v>
      </c>
      <c r="M335" s="1" t="s">
        <v>90</v>
      </c>
      <c r="N335" s="1" t="s">
        <v>90</v>
      </c>
      <c r="O335" s="16">
        <v>46082</v>
      </c>
      <c r="P335" s="16">
        <v>46387</v>
      </c>
      <c r="Q335" s="17">
        <v>10.166666666666666</v>
      </c>
      <c r="R335" s="1">
        <f t="shared" si="8"/>
        <v>2</v>
      </c>
      <c r="S335" s="1">
        <v>2</v>
      </c>
      <c r="T335" s="6">
        <v>0</v>
      </c>
      <c r="U335" s="6">
        <v>0</v>
      </c>
      <c r="V335" s="6">
        <v>24832.06</v>
      </c>
      <c r="W335" s="6">
        <v>28805.19</v>
      </c>
      <c r="AA335" s="6">
        <v>12416.03</v>
      </c>
    </row>
    <row r="336" spans="1:27" x14ac:dyDescent="0.25">
      <c r="A336" s="5" t="s">
        <v>283</v>
      </c>
      <c r="B336" s="15" t="s">
        <v>86</v>
      </c>
      <c r="C336" s="15" t="s">
        <v>284</v>
      </c>
      <c r="D336" s="15"/>
      <c r="E336" s="15"/>
      <c r="F336" s="15"/>
      <c r="G336" s="15"/>
      <c r="H336" s="15" t="s">
        <v>285</v>
      </c>
      <c r="I336" s="36" t="s">
        <v>286</v>
      </c>
      <c r="J336" s="1" t="s">
        <v>125</v>
      </c>
      <c r="K336" s="23" t="s">
        <v>47</v>
      </c>
      <c r="L336" s="15">
        <v>74</v>
      </c>
      <c r="M336" s="15" t="s">
        <v>90</v>
      </c>
      <c r="N336" s="15" t="s">
        <v>90</v>
      </c>
      <c r="O336" s="24">
        <v>46082</v>
      </c>
      <c r="P336" s="24">
        <v>46387</v>
      </c>
      <c r="Q336" s="17">
        <v>10.166666666666666</v>
      </c>
      <c r="R336" s="15">
        <v>350</v>
      </c>
      <c r="S336" s="15">
        <v>720</v>
      </c>
      <c r="T336" s="18">
        <v>54073405.5</v>
      </c>
      <c r="U336" s="18">
        <v>62725150.380000003</v>
      </c>
      <c r="V336" s="18">
        <v>111275810.5</v>
      </c>
      <c r="W336" s="18">
        <v>129079940.18000001</v>
      </c>
      <c r="X336" s="15"/>
      <c r="Y336" s="15"/>
      <c r="Z336" s="25"/>
      <c r="AA336" s="6" t="s">
        <v>91</v>
      </c>
    </row>
    <row r="337" spans="1:27" x14ac:dyDescent="0.25">
      <c r="A337" s="30" t="s">
        <v>287</v>
      </c>
      <c r="B337" s="15" t="s">
        <v>122</v>
      </c>
      <c r="C337" t="s">
        <v>144</v>
      </c>
      <c r="H337" s="1" t="s">
        <v>288</v>
      </c>
      <c r="I337" s="35" t="s">
        <v>289</v>
      </c>
      <c r="J337" s="1">
        <v>1</v>
      </c>
      <c r="K337" s="2" t="s">
        <v>56</v>
      </c>
      <c r="L337" s="1">
        <v>36</v>
      </c>
      <c r="M337" s="1" t="s">
        <v>126</v>
      </c>
      <c r="N337" s="1" t="s">
        <v>126</v>
      </c>
      <c r="O337" s="16">
        <v>46069</v>
      </c>
      <c r="P337" s="16">
        <v>46387</v>
      </c>
      <c r="Q337" s="17">
        <f>(P337-O337)/30</f>
        <v>10.6</v>
      </c>
      <c r="R337" s="1">
        <v>38</v>
      </c>
      <c r="S337" s="1">
        <v>38</v>
      </c>
      <c r="T337" s="6">
        <v>6449835</v>
      </c>
      <c r="U337" s="6">
        <f>(T337*0.16)+T337</f>
        <v>7481808.5999999996</v>
      </c>
      <c r="V337" s="6">
        <v>6449835</v>
      </c>
      <c r="W337" s="6">
        <f>(V337*0.16)+V337</f>
        <v>7481808.5999999996</v>
      </c>
      <c r="AA337" s="6">
        <v>16165</v>
      </c>
    </row>
    <row r="338" spans="1:27" x14ac:dyDescent="0.25">
      <c r="A338" s="30" t="s">
        <v>290</v>
      </c>
      <c r="B338" s="15" t="s">
        <v>122</v>
      </c>
      <c r="H338" s="15" t="s">
        <v>129</v>
      </c>
      <c r="I338" s="36" t="s">
        <v>130</v>
      </c>
      <c r="J338" s="1">
        <v>7</v>
      </c>
      <c r="K338" s="2" t="s">
        <v>64</v>
      </c>
      <c r="M338" s="1" t="s">
        <v>126</v>
      </c>
      <c r="N338" s="1" t="s">
        <v>126</v>
      </c>
      <c r="O338" s="16">
        <v>46118</v>
      </c>
      <c r="P338" s="16">
        <v>46387</v>
      </c>
      <c r="Q338" s="17">
        <f t="shared" ref="Q338:Q347" si="9">(P338-O338)/30</f>
        <v>8.9666666666666668</v>
      </c>
      <c r="R338" s="1">
        <v>12</v>
      </c>
      <c r="S338" s="1">
        <v>30</v>
      </c>
      <c r="T338" s="6">
        <v>1696057.92</v>
      </c>
      <c r="U338" s="6">
        <f t="shared" ref="U338:U342" si="10">(T338*0.16)+T338</f>
        <v>1967427.1872</v>
      </c>
      <c r="V338" s="6">
        <v>4240144.8</v>
      </c>
      <c r="W338" s="6">
        <f t="shared" ref="W338:W346" si="11">(V338*0.16)+V338</f>
        <v>4918567.9679999994</v>
      </c>
      <c r="AA338" s="6">
        <v>15704.24</v>
      </c>
    </row>
    <row r="339" spans="1:27" x14ac:dyDescent="0.25">
      <c r="A339" s="30" t="s">
        <v>290</v>
      </c>
      <c r="B339" s="15" t="s">
        <v>122</v>
      </c>
      <c r="H339" s="15" t="s">
        <v>129</v>
      </c>
      <c r="I339" s="36" t="s">
        <v>130</v>
      </c>
      <c r="J339" s="1">
        <v>8</v>
      </c>
      <c r="K339" s="2" t="s">
        <v>57</v>
      </c>
      <c r="M339" s="1" t="s">
        <v>126</v>
      </c>
      <c r="N339" s="1" t="s">
        <v>126</v>
      </c>
      <c r="O339" s="16">
        <v>46118</v>
      </c>
      <c r="P339" s="16">
        <v>46387</v>
      </c>
      <c r="Q339" s="17">
        <f t="shared" si="9"/>
        <v>8.9666666666666668</v>
      </c>
      <c r="R339" s="1">
        <v>8</v>
      </c>
      <c r="S339" s="1">
        <v>20</v>
      </c>
      <c r="T339" s="6">
        <v>1124483.76</v>
      </c>
      <c r="U339" s="6">
        <f t="shared" si="10"/>
        <v>1304401.1616</v>
      </c>
      <c r="V339" s="6">
        <v>2811209.4</v>
      </c>
      <c r="W339" s="6">
        <f t="shared" si="11"/>
        <v>3261002.9040000001</v>
      </c>
      <c r="AA339" s="6">
        <v>15617.83</v>
      </c>
    </row>
    <row r="340" spans="1:27" x14ac:dyDescent="0.25">
      <c r="A340" s="30" t="s">
        <v>290</v>
      </c>
      <c r="B340" s="15" t="s">
        <v>122</v>
      </c>
      <c r="H340" s="15" t="s">
        <v>129</v>
      </c>
      <c r="I340" s="36" t="s">
        <v>130</v>
      </c>
      <c r="J340" s="1">
        <v>16</v>
      </c>
      <c r="K340" s="2" t="s">
        <v>66</v>
      </c>
      <c r="M340" s="1" t="s">
        <v>126</v>
      </c>
      <c r="N340" s="1" t="s">
        <v>126</v>
      </c>
      <c r="O340" s="16">
        <v>46118</v>
      </c>
      <c r="P340" s="16">
        <v>46387</v>
      </c>
      <c r="Q340" s="17">
        <f t="shared" si="9"/>
        <v>8.9666666666666668</v>
      </c>
      <c r="R340" s="1">
        <v>3</v>
      </c>
      <c r="S340" s="1">
        <v>7</v>
      </c>
      <c r="T340" s="6">
        <v>472865.58</v>
      </c>
      <c r="U340" s="6">
        <f t="shared" si="10"/>
        <v>548524.07279999997</v>
      </c>
      <c r="V340" s="6">
        <v>1103353.02</v>
      </c>
      <c r="W340" s="6">
        <f t="shared" si="11"/>
        <v>1279889.5032000002</v>
      </c>
      <c r="AA340" s="6">
        <v>17513.54</v>
      </c>
    </row>
    <row r="341" spans="1:27" x14ac:dyDescent="0.25">
      <c r="A341" s="30" t="s">
        <v>290</v>
      </c>
      <c r="B341" s="15" t="s">
        <v>122</v>
      </c>
      <c r="H341" s="15" t="s">
        <v>129</v>
      </c>
      <c r="I341" s="36" t="s">
        <v>130</v>
      </c>
      <c r="J341" s="1">
        <v>17</v>
      </c>
      <c r="K341" s="2" t="s">
        <v>59</v>
      </c>
      <c r="M341" s="1" t="s">
        <v>126</v>
      </c>
      <c r="N341" s="1" t="s">
        <v>126</v>
      </c>
      <c r="O341" s="16">
        <v>46118</v>
      </c>
      <c r="P341" s="16">
        <v>46387</v>
      </c>
      <c r="Q341" s="17">
        <f t="shared" si="9"/>
        <v>8.9666666666666668</v>
      </c>
      <c r="R341" s="1">
        <v>6</v>
      </c>
      <c r="S341" s="1">
        <v>15</v>
      </c>
      <c r="T341" s="6">
        <v>871111.8</v>
      </c>
      <c r="U341" s="6">
        <f t="shared" si="10"/>
        <v>1010489.6880000001</v>
      </c>
      <c r="V341" s="6">
        <v>2177779.5</v>
      </c>
      <c r="W341" s="6">
        <f t="shared" si="11"/>
        <v>2526224.2200000002</v>
      </c>
      <c r="AA341" s="6">
        <v>16131.7</v>
      </c>
    </row>
    <row r="342" spans="1:27" x14ac:dyDescent="0.25">
      <c r="A342" s="30" t="s">
        <v>290</v>
      </c>
      <c r="B342" s="15" t="s">
        <v>122</v>
      </c>
      <c r="H342" s="15" t="s">
        <v>129</v>
      </c>
      <c r="I342" s="36" t="s">
        <v>130</v>
      </c>
      <c r="J342" s="1">
        <v>18</v>
      </c>
      <c r="K342" s="2" t="s">
        <v>77</v>
      </c>
      <c r="M342" s="1" t="s">
        <v>126</v>
      </c>
      <c r="N342" s="1" t="s">
        <v>126</v>
      </c>
      <c r="O342" s="16">
        <v>46118</v>
      </c>
      <c r="P342" s="16">
        <v>46387</v>
      </c>
      <c r="Q342" s="17">
        <f t="shared" si="9"/>
        <v>8.9666666666666668</v>
      </c>
      <c r="R342" s="1">
        <v>10</v>
      </c>
      <c r="S342" s="1">
        <v>25</v>
      </c>
      <c r="T342" s="6">
        <v>1393303.5</v>
      </c>
      <c r="U342" s="6">
        <f t="shared" si="10"/>
        <v>1616232.06</v>
      </c>
      <c r="V342" s="6">
        <v>3483258.75</v>
      </c>
      <c r="W342" s="6">
        <f t="shared" si="11"/>
        <v>4040580.15</v>
      </c>
      <c r="AA342" s="6">
        <v>15481.15</v>
      </c>
    </row>
    <row r="343" spans="1:27" x14ac:dyDescent="0.25">
      <c r="A343" s="1" t="s">
        <v>291</v>
      </c>
      <c r="B343" s="15" t="s">
        <v>134</v>
      </c>
      <c r="H343" s="1" t="s">
        <v>292</v>
      </c>
      <c r="I343" s="35" t="s">
        <v>292</v>
      </c>
      <c r="J343" s="1" t="s">
        <v>125</v>
      </c>
      <c r="K343" s="2" t="s">
        <v>47</v>
      </c>
      <c r="L343" s="1">
        <v>1</v>
      </c>
      <c r="M343" s="1" t="s">
        <v>136</v>
      </c>
      <c r="N343" s="1" t="s">
        <v>136</v>
      </c>
      <c r="O343" s="16">
        <v>46082</v>
      </c>
      <c r="P343" s="16">
        <v>46447</v>
      </c>
      <c r="Q343" s="17">
        <v>12</v>
      </c>
      <c r="R343" s="1">
        <v>5</v>
      </c>
      <c r="S343" s="1">
        <v>5</v>
      </c>
      <c r="T343" s="6">
        <v>0</v>
      </c>
      <c r="U343" s="6">
        <v>0</v>
      </c>
      <c r="V343" s="6">
        <v>1416000</v>
      </c>
      <c r="W343" s="6">
        <f t="shared" si="11"/>
        <v>1642560</v>
      </c>
      <c r="AA343" s="6">
        <v>23600</v>
      </c>
    </row>
    <row r="344" spans="1:27" x14ac:dyDescent="0.25">
      <c r="A344" s="30" t="s">
        <v>293</v>
      </c>
      <c r="B344" s="15" t="s">
        <v>86</v>
      </c>
      <c r="H344" s="1" t="s">
        <v>294</v>
      </c>
      <c r="I344" s="35" t="s">
        <v>295</v>
      </c>
      <c r="J344" s="1" t="s">
        <v>125</v>
      </c>
      <c r="K344" s="2" t="s">
        <v>47</v>
      </c>
      <c r="L344" s="1">
        <v>3</v>
      </c>
      <c r="M344" s="1" t="s">
        <v>90</v>
      </c>
      <c r="N344" s="1" t="s">
        <v>90</v>
      </c>
      <c r="O344" s="16">
        <v>46023</v>
      </c>
      <c r="P344" s="16">
        <v>46053</v>
      </c>
      <c r="Q344" s="17">
        <f t="shared" si="9"/>
        <v>1</v>
      </c>
      <c r="R344" s="1">
        <v>292</v>
      </c>
      <c r="S344" s="1">
        <v>292</v>
      </c>
      <c r="T344" s="6">
        <v>0</v>
      </c>
      <c r="U344" s="6">
        <v>0</v>
      </c>
      <c r="V344" s="6">
        <v>4934800</v>
      </c>
      <c r="W344" s="6">
        <f t="shared" si="11"/>
        <v>5724368</v>
      </c>
      <c r="AA344" s="6" t="s">
        <v>258</v>
      </c>
    </row>
    <row r="345" spans="1:27" x14ac:dyDescent="0.25">
      <c r="A345" s="30" t="s">
        <v>296</v>
      </c>
      <c r="B345" s="15" t="s">
        <v>86</v>
      </c>
      <c r="H345" s="1" t="s">
        <v>297</v>
      </c>
      <c r="I345" s="35" t="s">
        <v>298</v>
      </c>
      <c r="J345" s="1" t="s">
        <v>125</v>
      </c>
      <c r="K345" s="2" t="s">
        <v>47</v>
      </c>
      <c r="L345" s="1">
        <v>1</v>
      </c>
      <c r="M345" s="1" t="s">
        <v>90</v>
      </c>
      <c r="N345" s="1" t="s">
        <v>90</v>
      </c>
      <c r="O345" s="16">
        <v>46061</v>
      </c>
      <c r="P345" s="16">
        <v>46081</v>
      </c>
      <c r="Q345" s="17">
        <f t="shared" si="9"/>
        <v>0.66666666666666663</v>
      </c>
      <c r="R345" s="1">
        <v>150</v>
      </c>
      <c r="S345" s="1">
        <v>170</v>
      </c>
      <c r="T345" s="6">
        <v>1500000</v>
      </c>
      <c r="U345" s="6">
        <f t="shared" ref="U345" si="12">(T345*0.16)+T345</f>
        <v>1740000</v>
      </c>
      <c r="V345" s="6">
        <v>1700000</v>
      </c>
      <c r="W345" s="6">
        <f t="shared" si="11"/>
        <v>1972000</v>
      </c>
      <c r="AA345" s="6">
        <v>10000</v>
      </c>
    </row>
    <row r="346" spans="1:27" x14ac:dyDescent="0.25">
      <c r="A346" s="30" t="s">
        <v>299</v>
      </c>
      <c r="B346" s="15" t="s">
        <v>86</v>
      </c>
      <c r="H346" s="1" t="s">
        <v>300</v>
      </c>
      <c r="I346" s="35" t="s">
        <v>301</v>
      </c>
      <c r="J346" s="1" t="s">
        <v>125</v>
      </c>
      <c r="K346" s="2" t="s">
        <v>47</v>
      </c>
      <c r="L346" s="1">
        <v>51</v>
      </c>
      <c r="M346" s="1" t="s">
        <v>90</v>
      </c>
      <c r="N346" s="1" t="s">
        <v>90</v>
      </c>
      <c r="O346" s="16">
        <v>46023</v>
      </c>
      <c r="P346" s="16">
        <v>46387</v>
      </c>
      <c r="Q346" s="17">
        <f t="shared" si="9"/>
        <v>12.133333333333333</v>
      </c>
      <c r="R346" s="1">
        <v>274</v>
      </c>
      <c r="S346" s="1">
        <v>274</v>
      </c>
      <c r="T346" s="6">
        <v>0</v>
      </c>
      <c r="U346" s="6">
        <v>0</v>
      </c>
      <c r="V346" s="6">
        <v>8051261.6600000001</v>
      </c>
      <c r="W346" s="6">
        <f t="shared" si="11"/>
        <v>9339463.5256000012</v>
      </c>
      <c r="AA346" s="6" t="s">
        <v>213</v>
      </c>
    </row>
    <row r="347" spans="1:27" x14ac:dyDescent="0.25">
      <c r="H347" s="1" t="s">
        <v>302</v>
      </c>
      <c r="I347" s="1" t="s">
        <v>303</v>
      </c>
      <c r="J347" s="1" t="s">
        <v>125</v>
      </c>
      <c r="K347" s="2" t="s">
        <v>47</v>
      </c>
      <c r="L347" s="1">
        <v>1</v>
      </c>
      <c r="M347" s="1" t="s">
        <v>48</v>
      </c>
      <c r="N347" s="1" t="s">
        <v>48</v>
      </c>
      <c r="O347" s="16">
        <v>46024</v>
      </c>
      <c r="P347" s="16">
        <v>46112</v>
      </c>
      <c r="Q347" s="17">
        <f t="shared" si="9"/>
        <v>2.9333333333333331</v>
      </c>
      <c r="R347" s="1">
        <v>30</v>
      </c>
      <c r="S347" s="1">
        <v>30</v>
      </c>
      <c r="AA347" s="6">
        <v>12365.07</v>
      </c>
    </row>
  </sheetData>
  <sheetProtection sheet="1" objects="1" scenarios="1" sort="0" autoFilter="0"/>
  <autoFilter ref="A1:AQ337" xr:uid="{1C3D9153-F8E6-4522-8922-253B97381639}">
    <sortState xmlns:xlrd2="http://schemas.microsoft.com/office/spreadsheetml/2017/richdata2" ref="A2:AQ337">
      <sortCondition ref="K1:K337"/>
    </sortState>
  </autoFilter>
  <dataValidations count="1">
    <dataValidation allowBlank="1" showInputMessage="1" showErrorMessage="1" promptTitle="VINCULO DEL ANEXO " prompt="https://cienciasunammx-my.sharepoint.com/:b:/g/personal/alevaz_ciencias_unam_mx/IQBc8TnPE_YUQrrM_eHRQp0lAYRwNhr3TtzaHT6sPfLaCxk?e=pWizZl" sqref="A17:A46" xr:uid="{C800E28E-90CB-4BF0-A9B7-C1D11DC1296D}"/>
  </dataValidations>
  <hyperlinks>
    <hyperlink ref="A80" r:id="rId1" xr:uid="{3D9ECB38-D388-4ACD-B2B6-96E1CCACB9EE}"/>
    <hyperlink ref="A3:A10" r:id="rId2" display="CT-0078-26" xr:uid="{AABE6984-70A5-4FC6-95F1-C1C61A2111B6}"/>
    <hyperlink ref="A11:A16" r:id="rId3" display="CT-0078-26" xr:uid="{D9EC7F33-9E29-40C9-B26A-76D81320674A}"/>
    <hyperlink ref="A37" r:id="rId4" xr:uid="{CD537CFE-881D-4C2B-9D4F-8ACF43395F17}"/>
    <hyperlink ref="A218" r:id="rId5" xr:uid="{E0FBC053-6E7E-45D3-9A95-7713FA9B0FD4}"/>
    <hyperlink ref="A219" r:id="rId6" xr:uid="{71E37839-93A0-41E0-B9D5-DA9265A60DBE}"/>
    <hyperlink ref="A220" r:id="rId7" xr:uid="{FF4A63C8-4E37-4920-8388-5DAE620DC10B}"/>
    <hyperlink ref="A221" r:id="rId8" xr:uid="{7BFD23EE-5B20-4CFD-917F-4CC1419204A4}"/>
    <hyperlink ref="A222" r:id="rId9" xr:uid="{739515A8-8B49-4B9E-909E-ABFD06EBCFB4}"/>
    <hyperlink ref="A223" r:id="rId10" xr:uid="{E6F20926-C834-4FE8-857D-6ADFADBB7078}"/>
    <hyperlink ref="A224" r:id="rId11" xr:uid="{DBE673B6-C051-4B81-8F70-8F093ACDAF27}"/>
    <hyperlink ref="A225" r:id="rId12" xr:uid="{E23951F8-4BE1-415D-8F85-D59FA6055427}"/>
    <hyperlink ref="A226" r:id="rId13" xr:uid="{5B8E189B-56F3-4DB7-ACC1-84537994FA15}"/>
    <hyperlink ref="A227" r:id="rId14" xr:uid="{76E9FFF3-BE19-4DB0-85D3-3E4D7F6CADB8}"/>
    <hyperlink ref="A228" r:id="rId15" xr:uid="{F63A9D7B-C67F-40EA-A061-E01475CDB8FD}"/>
    <hyperlink ref="A229" r:id="rId16" xr:uid="{655F6AD8-F462-4DD3-821C-4FCFAF08DA10}"/>
    <hyperlink ref="A230" r:id="rId17" xr:uid="{FD9894A1-7889-40A0-8019-0EB40A233730}"/>
    <hyperlink ref="A231" r:id="rId18" xr:uid="{8F23577A-EDF2-4C91-A684-44898B6A0326}"/>
    <hyperlink ref="A232" r:id="rId19" xr:uid="{887A331D-5327-464B-9AAB-267F18F3941B}"/>
    <hyperlink ref="A233" r:id="rId20" xr:uid="{895B1EFE-3F0B-4832-91FD-AC96D38F4B7D}"/>
    <hyperlink ref="A234" r:id="rId21" xr:uid="{DA3FDCE5-95E2-4B43-BCD6-D2E63E8C16D7}"/>
    <hyperlink ref="A235" r:id="rId22" xr:uid="{24341855-A02B-48AD-BD7F-4CF443571E35}"/>
    <hyperlink ref="A236" r:id="rId23" xr:uid="{DA566301-5DC5-41D8-A06C-8C99DE9D916E}"/>
    <hyperlink ref="A237" r:id="rId24" xr:uid="{6C41C81F-CB9E-4A29-B125-CD9F71C30D40}"/>
    <hyperlink ref="A238" r:id="rId25" xr:uid="{9F6EBE6F-60A7-42A4-87EC-70F45ED2F3F3}"/>
    <hyperlink ref="A239" r:id="rId26" xr:uid="{5C0F2407-B977-4AAE-B951-28F143639E48}"/>
    <hyperlink ref="A240" r:id="rId27" xr:uid="{AB9E774D-EBC7-414F-9400-BBAEC8278B8A}"/>
    <hyperlink ref="A241" r:id="rId28" xr:uid="{3CB6BF5B-EBF8-4A03-A519-33642AB13DAA}"/>
    <hyperlink ref="A242" r:id="rId29" xr:uid="{ECCC34FB-4E50-415E-BC0C-0969A7C0229C}"/>
    <hyperlink ref="A243" r:id="rId30" xr:uid="{9541364B-A2C0-4C46-A54C-0186FF92C765}"/>
    <hyperlink ref="A244" r:id="rId31" xr:uid="{095E1563-786F-4EF5-814D-807F4B98E811}"/>
    <hyperlink ref="A245" r:id="rId32" xr:uid="{956A988E-6F9F-450C-AB73-A69D28FE2B83}"/>
    <hyperlink ref="A246" r:id="rId33" xr:uid="{11167F8A-D331-4053-B39D-0D1569A121A8}"/>
    <hyperlink ref="A247" r:id="rId34" xr:uid="{6273BC0B-BBF7-47C2-9AF0-3835F69A497D}"/>
    <hyperlink ref="A248" r:id="rId35" xr:uid="{45EFB350-CC10-4BA1-87DE-9D5DADEA1E11}"/>
    <hyperlink ref="A249" r:id="rId36" xr:uid="{943624FA-1684-4456-A528-9A14658F1191}"/>
    <hyperlink ref="A250" r:id="rId37" xr:uid="{519DFF5A-9734-410D-ACBF-B6198B6B2097}"/>
    <hyperlink ref="A251" r:id="rId38" xr:uid="{38DD6842-6601-494E-B3D5-14774B610105}"/>
    <hyperlink ref="A298" r:id="rId39" xr:uid="{6A5AD818-9125-427C-AE6D-A6BA80BF1B44}"/>
    <hyperlink ref="A84:A120" r:id="rId40" display="SRE/DGBIRM/C-AD-003/2026" xr:uid="{8FE429B5-FE79-4843-9163-768216B4F389}"/>
    <hyperlink ref="A260" r:id="rId41" xr:uid="{73EA2DE2-B02B-4E8A-9BD2-A87D9F0D5335}"/>
    <hyperlink ref="A122:A158" r:id="rId42" display="SRE/DGBIRM/P-ITP-003/2026" xr:uid="{082C2EB4-2F27-40E6-9345-64EC76FADBE0}"/>
    <hyperlink ref="A336" r:id="rId43" xr:uid="{BC030B67-C9E6-4BAC-A816-CF0E0AC45478}"/>
    <hyperlink ref="A170" r:id="rId44" xr:uid="{CEFBD842-3434-4DE7-B1EC-8475E21A8292}"/>
    <hyperlink ref="A207:A209" r:id="rId45" display="STC-GACS-CNCS-014/2026" xr:uid="{06EFCAAE-5608-4483-AE34-4CB2F54A0287}"/>
    <hyperlink ref="A256" r:id="rId46" xr:uid="{14A550AB-0EB9-4FC9-950C-ABA99758E245}"/>
    <hyperlink ref="A257" r:id="rId47" xr:uid="{513C593B-3627-448D-B47E-DA2BC210C4A3}"/>
    <hyperlink ref="A182" r:id="rId48" xr:uid="{990ED365-4455-4D05-A4C6-F4CFB72B4E99}"/>
    <hyperlink ref="A253" r:id="rId49" xr:uid="{7F6E1193-252B-4EF7-A386-B3CDF6350E35}"/>
    <hyperlink ref="A183" r:id="rId50" xr:uid="{CC6FB7EF-F43D-4040-AD48-D00A06FA49C3}"/>
    <hyperlink ref="A211:A213" r:id="rId51" display="LP-PJ-01/2026" xr:uid="{88243734-2C88-412D-A3CA-F9AE1BFAEEF0}"/>
    <hyperlink ref="A75" r:id="rId52" xr:uid="{D95319CE-341E-4214-802D-DB6242F45F54}"/>
    <hyperlink ref="A70" r:id="rId53" xr:uid="{5626DA4D-2571-42EE-81BD-883721E79E7C}"/>
    <hyperlink ref="A222:A225" r:id="rId54" display="LA-IB-CSG-0114-2026" xr:uid="{BFEB0993-AE85-43D4-A3C4-004708A182A4}"/>
    <hyperlink ref="A138" r:id="rId55" xr:uid="{29B6B724-B28A-4E9C-AB95-64FB0B56665F}"/>
    <hyperlink ref="A174" r:id="rId56" xr:uid="{EB1E67CF-4BDB-42BE-85F0-0FBEF4C9BB50}"/>
    <hyperlink ref="A215:A220" r:id="rId57" display="MB-DEAF-CT-001-2026" xr:uid="{056F21F9-D9CD-4A11-8BCD-A167E5015894}"/>
    <hyperlink ref="A252" r:id="rId58" xr:uid="{4C6838D8-6C1F-436A-A639-2A22B54390AC}"/>
    <hyperlink ref="A259" r:id="rId59" xr:uid="{3031620C-E981-45BA-A102-E7434C86768F}"/>
    <hyperlink ref="A18:A46" r:id="rId60" display="CONAFE-UAF-AM/70-CDMX-2026" xr:uid="{496A15A8-FDC0-4E44-8347-7D73F06D6675}"/>
    <hyperlink ref="A46" r:id="rId61" xr:uid="{139CA198-8DF3-43B6-8CF7-2240DC045014}"/>
    <hyperlink ref="A47" r:id="rId62" xr:uid="{F1C99F57-362B-43D8-B9D9-6A3450E3F021}"/>
    <hyperlink ref="A48" r:id="rId63" xr:uid="{D8519C38-42F1-44C3-BD04-B9E222801B40}"/>
    <hyperlink ref="A49" r:id="rId64" xr:uid="{4BF5EA61-C7B8-47D1-BB0A-9453C1FCDA12}"/>
    <hyperlink ref="A50" r:id="rId65" xr:uid="{B3F095E9-81B3-4FE1-A8F4-2D4177300FE3}"/>
    <hyperlink ref="A51" r:id="rId66" xr:uid="{DDA59933-637C-48A1-95CB-D90CB21FF5F8}"/>
    <hyperlink ref="A52" r:id="rId67" xr:uid="{B410F3B2-E0A4-4CEE-9DDC-F989D1199004}"/>
    <hyperlink ref="A53" r:id="rId68" xr:uid="{42C91B1F-D8AD-4954-89CB-FB362318F32E}"/>
    <hyperlink ref="A54" r:id="rId69" xr:uid="{A8A67FBA-7151-4F2F-9F07-90152291C536}"/>
    <hyperlink ref="A55" r:id="rId70" xr:uid="{7FD5E332-5E22-40A8-A0DE-5FD079EBFDB6}"/>
    <hyperlink ref="A56" r:id="rId71" xr:uid="{9FC99474-2A25-41AA-A9D6-2A48C178EA9A}"/>
    <hyperlink ref="A57" r:id="rId72" xr:uid="{FE50289C-9EE0-45FB-9C12-E314989DCA57}"/>
    <hyperlink ref="A58" r:id="rId73" xr:uid="{286A84F4-4615-43A3-ABEE-DA127B8E757D}"/>
    <hyperlink ref="A59" r:id="rId74" xr:uid="{F4B9E1E2-D609-4A65-8B77-1E080A373341}"/>
    <hyperlink ref="A60" r:id="rId75" xr:uid="{7B3F8CBF-2E81-4AEF-920D-BFBA1EE66FE4}"/>
    <hyperlink ref="A61" r:id="rId76" xr:uid="{5ED5130D-3B5B-483D-BCBB-F9F9DDC115C4}"/>
    <hyperlink ref="A62" r:id="rId77" xr:uid="{31074A11-30CE-48BF-8F6B-294F21382E70}"/>
    <hyperlink ref="A64" r:id="rId78" xr:uid="{EE5CF813-67DE-4E10-A2E0-0BE374C36F9D}"/>
    <hyperlink ref="A63" r:id="rId79" xr:uid="{ADD445D7-966E-4A40-A586-824F13ED34FB}"/>
    <hyperlink ref="A65" r:id="rId80" xr:uid="{FF4A029D-F78B-451A-9B6C-1CF1AFCEDA50}"/>
    <hyperlink ref="A66" r:id="rId81" xr:uid="{F28A0635-50F1-4995-BC5C-D096851D695C}"/>
    <hyperlink ref="A40" r:id="rId82" xr:uid="{6641601C-990C-4C9B-AE5A-22C0D839405E}"/>
    <hyperlink ref="A41" r:id="rId83" xr:uid="{2AB37865-B7BE-4DE8-AC83-9CCCFD140C18}"/>
    <hyperlink ref="A42" r:id="rId84" xr:uid="{918B1A63-5AE3-4674-ADCB-B2E46783E0AB}"/>
    <hyperlink ref="A43" r:id="rId85" xr:uid="{F2B83218-DD65-49EC-91C6-0E703375C6F3}"/>
    <hyperlink ref="A44" r:id="rId86" xr:uid="{A8B1518A-304E-4CD8-90BC-DF3C7A39BBBD}"/>
    <hyperlink ref="A45" r:id="rId87" xr:uid="{EDF2389A-A379-4C63-BC90-E63B92D116B9}"/>
    <hyperlink ref="A5" r:id="rId88" xr:uid="{D6D7557C-86EE-4A80-99F2-BAF549B8CC96}"/>
    <hyperlink ref="A6" r:id="rId89" xr:uid="{70460851-854C-4DCD-8B95-4F4727DBD737}"/>
    <hyperlink ref="A7" r:id="rId90" xr:uid="{C1236F83-2298-4477-B177-08F644DCA067}"/>
    <hyperlink ref="A8" r:id="rId91" xr:uid="{3686BF9F-5FCB-4325-99BD-56E8106C73BA}"/>
    <hyperlink ref="A9" r:id="rId92" xr:uid="{33AF752B-4C5D-4060-8805-37A0729C7F9C}"/>
    <hyperlink ref="A10" r:id="rId93" xr:uid="{9C3926E9-159B-4F6D-8999-44AF6304226F}"/>
    <hyperlink ref="A11" r:id="rId94" xr:uid="{08ED6AA6-F071-4DEA-9C2E-1583527DD9F4}"/>
    <hyperlink ref="A12" r:id="rId95" xr:uid="{3CF32A0C-4BDE-470B-A0B4-3A73D2AC2B66}"/>
    <hyperlink ref="A13" r:id="rId96" xr:uid="{97FCED00-80F0-494B-9932-1D5D7172C8B9}"/>
    <hyperlink ref="A14" r:id="rId97" xr:uid="{00CB245B-CF7A-4176-905D-DA45D9E8D61B}"/>
    <hyperlink ref="A15" r:id="rId98" xr:uid="{B4BCB023-C8BF-4771-A65A-B1A23A3EB06F}"/>
    <hyperlink ref="A16" r:id="rId99" xr:uid="{F66CC270-E76E-4FF8-A4B3-234DC35AB926}"/>
    <hyperlink ref="A17" r:id="rId100" xr:uid="{F7641204-95A5-4B55-A93F-A3B599B5E31B}"/>
    <hyperlink ref="A18" r:id="rId101" xr:uid="{74F62514-3D28-4C53-B602-FF20CBCCA196}"/>
    <hyperlink ref="A19" r:id="rId102" xr:uid="{9AE6E3A0-04AD-46C5-9B11-DAEC24278DB4}"/>
    <hyperlink ref="A20" r:id="rId103" xr:uid="{F36C1E77-C89C-43B2-AFFC-2AFA643805D5}"/>
    <hyperlink ref="A21" r:id="rId104" xr:uid="{C82728FE-9E28-440F-8C81-83B48101A5ED}"/>
    <hyperlink ref="A22" r:id="rId105" xr:uid="{99F21F19-8084-4535-A6B4-82C888E21842}"/>
    <hyperlink ref="A23" r:id="rId106" xr:uid="{C1F82046-A156-41D5-B3CE-F63312BA1D55}"/>
    <hyperlink ref="A24" r:id="rId107" xr:uid="{E3796C5D-68EC-416B-9F4D-96C19A4BEBAB}"/>
    <hyperlink ref="A25" r:id="rId108" xr:uid="{1B9A2016-FD55-4D67-8AD5-F286E427AE55}"/>
    <hyperlink ref="A26" r:id="rId109" xr:uid="{A1A4E5F6-9B12-4666-87C8-9338782046D6}"/>
    <hyperlink ref="A27" r:id="rId110" xr:uid="{D824239B-72DB-4122-BBD3-EF3CD5DA9DE8}"/>
    <hyperlink ref="A28" r:id="rId111" xr:uid="{8492AB27-954D-496A-813F-CD7B63530ED2}"/>
    <hyperlink ref="A29" r:id="rId112" xr:uid="{8FBAE706-65D6-47A6-A25C-B2AAD4548ACD}"/>
    <hyperlink ref="A30" r:id="rId113" xr:uid="{C5F5ABF9-38B1-4680-B905-CAF7B3C94A71}"/>
    <hyperlink ref="A31" r:id="rId114" xr:uid="{6F661A48-63C4-4E28-A472-87303DF29A35}"/>
    <hyperlink ref="A32" r:id="rId115" xr:uid="{513112AB-8311-4C77-9E7C-37BD9F6EA512}"/>
    <hyperlink ref="A33" r:id="rId116" xr:uid="{75AD7A4E-D49E-41C5-A814-3594BD74B49F}"/>
    <hyperlink ref="A34" r:id="rId117" xr:uid="{614F6FC8-9666-4EAA-BC6B-20BEE14BBB87}"/>
    <hyperlink ref="A35" r:id="rId118" xr:uid="{A4537F40-3061-428C-AE08-02BDC23F6286}"/>
    <hyperlink ref="A36" r:id="rId119" xr:uid="{3D9D2856-4F67-4A43-8276-BA9382B8E6B4}"/>
    <hyperlink ref="A2" r:id="rId120" xr:uid="{88741373-C832-4E04-B6FD-CC21F378D33A}"/>
    <hyperlink ref="A3" r:id="rId121" xr:uid="{C7778C92-9022-4EB5-A0F7-4E05CEAF3CCD}"/>
    <hyperlink ref="A4" r:id="rId122" xr:uid="{D1228EF1-7745-4063-A4F4-81AE34683011}"/>
    <hyperlink ref="A76" r:id="rId123" xr:uid="{D53B0A67-BE5D-4AD4-89B4-DCD5F6A66011}"/>
    <hyperlink ref="A297:A299" r:id="rId124" display="LA-IB-CSG-0111-2026" xr:uid="{67C1698C-2A24-4D07-9D79-863B6F8BC598}"/>
    <hyperlink ref="A255" r:id="rId125" xr:uid="{DEA78D6F-23A6-4FBA-8A1A-62ECF6C8E9BC}"/>
    <hyperlink ref="A258" r:id="rId126" xr:uid="{C4D74C7A-D5D4-444E-8CB5-5EF0931816C5}"/>
    <hyperlink ref="A137" r:id="rId127" xr:uid="{F80FB076-79E4-4783-BD9D-E3A02010967E}"/>
    <hyperlink ref="A187" r:id="rId128" xr:uid="{C42B0545-355F-466E-8DFF-048308076DC7}"/>
    <hyperlink ref="A188" r:id="rId129" xr:uid="{ED0AC797-DE56-4B1F-9AE4-90058874BEFC}"/>
    <hyperlink ref="A189" r:id="rId130" xr:uid="{6728D71D-B247-46B3-B186-8A5B3562EB47}"/>
    <hyperlink ref="A190" r:id="rId131" xr:uid="{06B7ED30-E04F-4ECF-8242-594D4FD1CF5B}"/>
    <hyperlink ref="A191" r:id="rId132" xr:uid="{8C89AD3C-9DA7-4FD7-B024-496A6B8CA67F}"/>
    <hyperlink ref="A192" r:id="rId133" xr:uid="{F2F9E5F2-05C1-49E6-BA4C-AF59CA74456C}"/>
    <hyperlink ref="A193" r:id="rId134" xr:uid="{FAD26833-38C2-42B7-BB43-13DB46C08C10}"/>
    <hyperlink ref="A194" r:id="rId135" xr:uid="{8486902D-83D1-4AD5-A015-D1D2ECD82111}"/>
    <hyperlink ref="A195" r:id="rId136" xr:uid="{FF232977-FDEF-4580-B325-9501AF4860E9}"/>
    <hyperlink ref="A196" r:id="rId137" xr:uid="{6766B3F3-0F52-40BF-9E83-CA3B455AC5A0}"/>
    <hyperlink ref="A197" r:id="rId138" xr:uid="{409FCB83-3D4A-47EC-AD70-A4D6CDE22DF2}"/>
    <hyperlink ref="A198" r:id="rId139" xr:uid="{F0B5CB07-DAA3-4702-8BCD-7A91BC0BDD85}"/>
    <hyperlink ref="A199" r:id="rId140" xr:uid="{A456EBB0-5ABE-4DE5-B35D-9DA649D1772D}"/>
    <hyperlink ref="A200" r:id="rId141" xr:uid="{FEB4F7FB-838B-458D-8E84-EC177BDE9ED2}"/>
    <hyperlink ref="A201" r:id="rId142" xr:uid="{FCEFD710-2805-46C9-BB22-9DA093E17BC7}"/>
    <hyperlink ref="A202" r:id="rId143" xr:uid="{9D1E9382-1EA0-4077-B296-88E704316B8C}"/>
    <hyperlink ref="A203" r:id="rId144" xr:uid="{03821352-389C-4D3B-A32C-1DFD7DCBC841}"/>
    <hyperlink ref="A204" r:id="rId145" xr:uid="{C3DBA8F9-B929-45C4-B996-A816024A0034}"/>
    <hyperlink ref="A205" r:id="rId146" xr:uid="{CEA776F8-ABBD-4F20-A359-FF53AEA01C86}"/>
    <hyperlink ref="A206" r:id="rId147" xr:uid="{6FC66462-D305-4E43-A355-DE92F277E4FA}"/>
    <hyperlink ref="A207" r:id="rId148" xr:uid="{48606C3D-3B79-4944-B0E8-0A521FB282F1}"/>
    <hyperlink ref="A208" r:id="rId149" xr:uid="{002D7124-F72E-444D-9EB1-D9E60CF3AFC4}"/>
    <hyperlink ref="A209" r:id="rId150" xr:uid="{45F02FF3-C961-4EC2-BC1A-B32944375B23}"/>
    <hyperlink ref="A210" r:id="rId151" xr:uid="{6C4F6019-85F1-4C24-890C-51617AE4D225}"/>
    <hyperlink ref="A211" r:id="rId152" xr:uid="{34CB79E9-B084-4FA2-90E0-9D6153DE1DA2}"/>
    <hyperlink ref="A212" r:id="rId153" xr:uid="{E9DCC25F-BFCB-4ABD-81B4-04AA92C0DAD4}"/>
    <hyperlink ref="A213" r:id="rId154" xr:uid="{7DF4B382-F188-4C40-9227-102FAA19A748}"/>
    <hyperlink ref="A214" r:id="rId155" xr:uid="{B50F3BF5-D299-4495-8A9C-A4E2FBFF1351}"/>
    <hyperlink ref="A215" r:id="rId156" xr:uid="{7065020B-A30E-412D-8DF8-58A0B499C57F}"/>
    <hyperlink ref="A216" r:id="rId157" xr:uid="{19585C34-B72A-4CA3-9319-71F4A09F3095}"/>
    <hyperlink ref="A217" r:id="rId158" xr:uid="{2CEE717D-4FD0-4095-971D-29FA018A5532}"/>
    <hyperlink ref="A337" r:id="rId159" xr:uid="{9E980AF2-6FE9-4F84-868C-EE81D774EDE6}"/>
    <hyperlink ref="A254" r:id="rId160" xr:uid="{B28E4ECD-E397-4421-A5BB-3E8AE9E97D7B}"/>
    <hyperlink ref="A181" r:id="rId161" xr:uid="{6FBD6449-E4A4-4865-8EA4-F85626AA0D08}"/>
    <hyperlink ref="A338" r:id="rId162" xr:uid="{EF1FCC7A-2E70-4D64-9616-2BF61D75C0F9}"/>
    <hyperlink ref="A339:A342" r:id="rId163" display="AA-IB-CSG-0166-2026" xr:uid="{9C4B2219-32E8-47BF-A7C2-86D9DFB61E19}"/>
    <hyperlink ref="A344" r:id="rId164" xr:uid="{550397A8-DB58-4A2B-8D1A-6749FBE6EDB7}"/>
    <hyperlink ref="A345" r:id="rId165" xr:uid="{DF28498F-2491-441D-8642-341824A90C72}"/>
    <hyperlink ref="A346" r:id="rId166" xr:uid="{7EEF2726-FACF-472D-A36E-214CF56C2937}"/>
  </hyperlinks>
  <pageMargins left="0.7" right="0.7" top="0.75" bottom="0.75" header="0.3" footer="0.3"/>
  <legacyDrawing r:id="rId1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 actualizados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Lic. JVU</dc:creator>
  <cp:keywords/>
  <dc:description/>
  <cp:lastModifiedBy>PC BDE</cp:lastModifiedBy>
  <cp:revision/>
  <dcterms:created xsi:type="dcterms:W3CDTF">2026-05-08T15:41:28Z</dcterms:created>
  <dcterms:modified xsi:type="dcterms:W3CDTF">2026-07-30T20:10:48Z</dcterms:modified>
  <cp:category/>
  <cp:contentStatus/>
</cp:coreProperties>
</file>